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BaiduSyncdisk\项目管理\04_实施模板与套表\02 交付物管理\Phase5提交包\02_正式交付模板\01_事前准备\"/>
    </mc:Choice>
  </mc:AlternateContent>
  <bookViews>
    <workbookView windowWidth="27945" windowHeight="12255"/>
  </bookViews>
  <sheets>
    <sheet name="项目实施计划" sheetId="1" r:id="rId1"/>
    <sheet name="关键里程碑" sheetId="2" r:id="rId2"/>
    <sheet name="使用说明" sheetId="3" r:id="rId3"/>
  </sheets>
  <definedNames>
    <definedName name="_xlnm._FilterDatabase" localSheetId="0" hidden="1">项目实施计划!$A$5:$P$60</definedName>
    <definedName name="_xlnm._FilterDatabase" localSheetId="1" hidden="1">关键里程碑!$A$3:$H$10</definedName>
    <definedName name="_xlnm._FilterDatabase" localSheetId="2" hidden="1">使用说明!$A$1:$A$20</definedName>
    <definedName name="_xlnm.Print_Area" localSheetId="1">关键里程碑!$A$1:$H$10</definedName>
    <definedName name="_xlnm.Print_Area" localSheetId="2">使用说明!$A$1:$C$11</definedName>
    <definedName name="_xlnm.Print_Area" localSheetId="0">项目实施计划!$A$1:$AB$60</definedName>
    <definedName name="_xlnm.Print_Titles" localSheetId="1">关键里程碑!$1:$3</definedName>
    <definedName name="_xlnm.Print_Titles" localSheetId="0">项目实施计划!$1:$5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<sst xmlns="http://schemas.openxmlformats.org/spreadsheetml/2006/main" count="637" uniqueCount="333">
  <si>
    <t>PIS 项目实施计划模板</t>
  </si>
  <si>
    <t>项目名称</t>
  </si>
  <si>
    <t>【填写项目名称】</t>
  </si>
  <si>
    <t>项目经理</t>
  </si>
  <si>
    <t>计划开始日期</t>
  </si>
  <si>
    <t>【YYYY-MM-DD】</t>
  </si>
  <si>
    <t>目标上线日期</t>
  </si>
  <si>
    <t>计划总工期</t>
  </si>
  <si>
    <t>任务数</t>
  </si>
  <si>
    <t>关键里程碑</t>
  </si>
  <si>
    <t>总体完成率</t>
  </si>
  <si>
    <t>甘特图（按周，阶段按SOP / 任务按实际）</t>
  </si>
  <si>
    <t>甲方（医院）</t>
  </si>
  <si>
    <t>【填写医院/甲方单位】</t>
  </si>
  <si>
    <t>实施负责人</t>
  </si>
  <si>
    <t>项目类型</t>
  </si>
  <si>
    <t>【填写项目类型】</t>
  </si>
  <si>
    <t>计划验收日期</t>
  </si>
  <si>
    <t>天</t>
  </si>
  <si>
    <t>项</t>
  </si>
  <si>
    <t>个</t>
  </si>
  <si>
    <t>%</t>
  </si>
  <si>
    <t>WBS</t>
  </si>
  <si>
    <t>SOP阶段</t>
  </si>
  <si>
    <t>工作线</t>
  </si>
  <si>
    <t>实际任务</t>
  </si>
  <si>
    <t>任务类型</t>
  </si>
  <si>
    <t>适用性</t>
  </si>
  <si>
    <t>主责</t>
  </si>
  <si>
    <t>协同</t>
  </si>
  <si>
    <t>计划开始</t>
  </si>
  <si>
    <t>工期(天)</t>
  </si>
  <si>
    <t>计划完成</t>
  </si>
  <si>
    <t>前置任务</t>
  </si>
  <si>
    <t>状态</t>
  </si>
  <si>
    <t>完成率</t>
  </si>
  <si>
    <t>关键检查点/交付物</t>
  </si>
  <si>
    <t>当前问题/备注</t>
  </si>
  <si>
    <t>1.1</t>
  </si>
  <si>
    <t>事前准备</t>
  </si>
  <si>
    <t>项目准备</t>
  </si>
  <si>
    <t>销售/项目资料移交</t>
  </si>
  <si>
    <t>任务</t>
  </si>
  <si>
    <t>必做</t>
  </si>
  <si>
    <t>销售/实施</t>
  </si>
  <si>
    <t>未开始</t>
  </si>
  <si>
    <t>项目资料已完整移交</t>
  </si>
  <si>
    <t>1.2</t>
  </si>
  <si>
    <t>项目基础信息核对</t>
  </si>
  <si>
    <t>实施/销售</t>
  </si>
  <si>
    <t>范围、现用系统、关键节点明确</t>
  </si>
  <si>
    <t>项目调研</t>
  </si>
  <si>
    <t>产品经理</t>
  </si>
  <si>
    <t>实施</t>
  </si>
  <si>
    <t>项目调研报告</t>
  </si>
  <si>
    <t>1.4</t>
  </si>
  <si>
    <t>接口准备</t>
  </si>
  <si>
    <t>软硬件接口清单/文档/第三方人员核查</t>
  </si>
  <si>
    <t>实施/销售/第三方</t>
  </si>
  <si>
    <t>接口清单、文档版本、联调人明确</t>
  </si>
  <si>
    <t>1.5</t>
  </si>
  <si>
    <t>环境准备</t>
  </si>
  <si>
    <t>服务器/网络/账号/测试数据条件核查</t>
  </si>
  <si>
    <t>运维/实施/信息科</t>
  </si>
  <si>
    <t>环境及资源前置条件明确</t>
  </si>
  <si>
    <t>1.6</t>
  </si>
  <si>
    <t>项目管理</t>
  </si>
  <si>
    <t>项目实施计划编制</t>
  </si>
  <si>
    <t>实施/运维</t>
  </si>
  <si>
    <t>项目计划及关键里程碑</t>
  </si>
  <si>
    <t>1.7</t>
  </si>
  <si>
    <t>进场准入评审</t>
  </si>
  <si>
    <t>里程碑</t>
  </si>
  <si>
    <t>交付负责人</t>
  </si>
  <si>
    <t>1.3,1.4,1.5,1.6</t>
  </si>
  <si>
    <t>具备进场条件/红线项关闭</t>
  </si>
  <si>
    <t>项目启动会</t>
  </si>
  <si>
    <t>甲方项目负责人/实施/销售</t>
  </si>
  <si>
    <t>项目启动会议纪要</t>
  </si>
  <si>
    <t>2.1</t>
  </si>
  <si>
    <t>实施执行</t>
  </si>
  <si>
    <t>环境与部署</t>
  </si>
  <si>
    <t>测试/生产环境部署</t>
  </si>
  <si>
    <t>运维</t>
  </si>
  <si>
    <t>系统可访问、服务可启动</t>
  </si>
  <si>
    <t>2.2</t>
  </si>
  <si>
    <t>端口/防火墙/账号权限验证</t>
  </si>
  <si>
    <t>实施/信息科</t>
  </si>
  <si>
    <t>网络及账号权限可用</t>
  </si>
  <si>
    <t>2.3</t>
  </si>
  <si>
    <t>终端/打印机/条码设备确认</t>
  </si>
  <si>
    <t>运维/甲方</t>
  </si>
  <si>
    <t>关键终端与外设可用</t>
  </si>
  <si>
    <t>2.4</t>
  </si>
  <si>
    <t>基础数据</t>
  </si>
  <si>
    <t>组织/科室/人员/权限资料收集</t>
  </si>
  <si>
    <t>甲方</t>
  </si>
  <si>
    <t>基础人员及权限资料齐全</t>
  </si>
  <si>
    <t>2.5</t>
  </si>
  <si>
    <t>基础字典/业务类型资料收集</t>
  </si>
  <si>
    <t>基础字典清单</t>
  </si>
  <si>
    <t>2.6</t>
  </si>
  <si>
    <t>基础数据导入与核对</t>
  </si>
  <si>
    <t>2.1,2.4,2.5</t>
  </si>
  <si>
    <t>基础数据导入完成并核对</t>
  </si>
  <si>
    <t>2.7</t>
  </si>
  <si>
    <t>系统配置</t>
  </si>
  <si>
    <t>业务流程/编号规则确认</t>
  </si>
  <si>
    <t>项目经理/甲方</t>
  </si>
  <si>
    <t>业务流程和编号规则确认</t>
  </si>
  <si>
    <t>2.8</t>
  </si>
  <si>
    <t>系统参数/权限/流程配置</t>
  </si>
  <si>
    <t>2.1,2.7</t>
  </si>
  <si>
    <t>核心系统配置完成</t>
  </si>
  <si>
    <t>2.9</t>
  </si>
  <si>
    <t>配置项现场核对与调整</t>
  </si>
  <si>
    <t>甲方业务骨干</t>
  </si>
  <si>
    <t>2.6,2.8</t>
  </si>
  <si>
    <t>配置项核对完成</t>
  </si>
  <si>
    <t>2.10</t>
  </si>
  <si>
    <t>报告与打印</t>
  </si>
  <si>
    <t>报告模板收集与差异确认</t>
  </si>
  <si>
    <t>报告模板清单/差异点</t>
  </si>
  <si>
    <t>2.11</t>
  </si>
  <si>
    <t>报告模板制作与配置</t>
  </si>
  <si>
    <t>产品/研发（按需）</t>
  </si>
  <si>
    <t>2.1,2.10</t>
  </si>
  <si>
    <t>主要报告模板可用</t>
  </si>
  <si>
    <t>2.12</t>
  </si>
  <si>
    <t>标签/打印模板制作</t>
  </si>
  <si>
    <t>标签/打印模板可用</t>
  </si>
  <si>
    <t>2.13</t>
  </si>
  <si>
    <t>报告/打印确认与调整</t>
  </si>
  <si>
    <t>2.11,2.12</t>
  </si>
  <si>
    <t>报告/打印验证通过</t>
  </si>
  <si>
    <t>2.14</t>
  </si>
  <si>
    <t>软硬件接口</t>
  </si>
  <si>
    <t>业务时序图确认</t>
  </si>
  <si>
    <t>第三方/信息科</t>
  </si>
  <si>
    <t>1.4,1.8</t>
  </si>
  <si>
    <t>接口字段和时序确认</t>
  </si>
  <si>
    <t>2.15</t>
  </si>
  <si>
    <t>接口配置/开发</t>
  </si>
  <si>
    <t>研发/实施</t>
  </si>
  <si>
    <t>产品</t>
  </si>
  <si>
    <t>接口具备测试条件</t>
  </si>
  <si>
    <t>2.16</t>
  </si>
  <si>
    <t>单接口测试</t>
  </si>
  <si>
    <t>研发</t>
  </si>
  <si>
    <t>单接口测试通过</t>
  </si>
  <si>
    <t>2.17</t>
  </si>
  <si>
    <t>三方接口联调</t>
  </si>
  <si>
    <t>第三方/研发/信息科</t>
  </si>
  <si>
    <t>关键接口联调通过</t>
  </si>
  <si>
    <t>2.18</t>
  </si>
  <si>
    <t>异常场景/数据一致性验证</t>
  </si>
  <si>
    <t>第三方/研发</t>
  </si>
  <si>
    <t>异常及边界场景验证完成</t>
  </si>
  <si>
    <t>2.19</t>
  </si>
  <si>
    <t>接口问题整改与回归</t>
  </si>
  <si>
    <t>研发/第三方</t>
  </si>
  <si>
    <t>关键接口问题关闭</t>
  </si>
  <si>
    <t>2.20</t>
  </si>
  <si>
    <t>历史数据</t>
  </si>
  <si>
    <t>原系统数据源/迁移范围确认</t>
  </si>
  <si>
    <t>按需</t>
  </si>
  <si>
    <t>研发/甲方</t>
  </si>
  <si>
    <t>迁移范围及数据源明确</t>
  </si>
  <si>
    <t>2.21</t>
  </si>
  <si>
    <t>字段映射/迁移规则确认</t>
  </si>
  <si>
    <t>迁移映射规则确认</t>
  </si>
  <si>
    <t>2.22</t>
  </si>
  <si>
    <t>测试迁移</t>
  </si>
  <si>
    <t>2.1,2.21</t>
  </si>
  <si>
    <t>试迁移完成</t>
  </si>
  <si>
    <t>2.23</t>
  </si>
  <si>
    <t>迁移结果核对</t>
  </si>
  <si>
    <t>甲方/研发</t>
  </si>
  <si>
    <t>迁移数量和关键字段核对</t>
  </si>
  <si>
    <t>2.24</t>
  </si>
  <si>
    <t>正式迁移方案/回退方案准备</t>
  </si>
  <si>
    <t>研发/项目经理</t>
  </si>
  <si>
    <t>正式迁移及回退方案</t>
  </si>
  <si>
    <t>2.25</t>
  </si>
  <si>
    <t>测试与培训</t>
  </si>
  <si>
    <t>实施内部全流程测试</t>
  </si>
  <si>
    <t>2.9,2.13,2.17</t>
  </si>
  <si>
    <t>核心全流程测试完成</t>
  </si>
  <si>
    <t>2.26</t>
  </si>
  <si>
    <t>科室业务骨干联合测试</t>
  </si>
  <si>
    <t>业务测试确认</t>
  </si>
  <si>
    <t>2.27</t>
  </si>
  <si>
    <t>测试问题整改与回归</t>
  </si>
  <si>
    <t>产品/研发</t>
  </si>
  <si>
    <t>阻塞性问题关闭</t>
  </si>
  <si>
    <t>2.28</t>
  </si>
  <si>
    <t>用户培训准备</t>
  </si>
  <si>
    <t>培训账号/材料/场地准备完成</t>
  </si>
  <si>
    <t>2.29</t>
  </si>
  <si>
    <t>分角色用户培训</t>
  </si>
  <si>
    <t>2.28,2.26</t>
  </si>
  <si>
    <t>培训记录/签到</t>
  </si>
  <si>
    <t>3.1</t>
  </si>
  <si>
    <t>试行验证</t>
  </si>
  <si>
    <t>试行</t>
  </si>
  <si>
    <t>试行范围/业务量/参与人员确认</t>
  </si>
  <si>
    <t>实施/甲方</t>
  </si>
  <si>
    <t>2.27,2.29</t>
  </si>
  <si>
    <t>试行方案确认</t>
  </si>
  <si>
    <t>3.2</t>
  </si>
  <si>
    <t>真实业务试行</t>
  </si>
  <si>
    <t>甲方业务人员</t>
  </si>
  <si>
    <t>真实业务试行记录</t>
  </si>
  <si>
    <t>3.3</t>
  </si>
  <si>
    <t>问题整改</t>
  </si>
  <si>
    <t>试行问题每日闭环</t>
  </si>
  <si>
    <t>持续任务</t>
  </si>
  <si>
    <t>项目经理/研发</t>
  </si>
  <si>
    <t>每日问题清单及处理结果</t>
  </si>
  <si>
    <t>3.4</t>
  </si>
  <si>
    <t>试行遗留问题整改与回归</t>
  </si>
  <si>
    <t>3.2,3.3</t>
  </si>
  <si>
    <t>阻塞上线问题关闭</t>
  </si>
  <si>
    <t>3.5</t>
  </si>
  <si>
    <t>上线评估</t>
  </si>
  <si>
    <t>上线条件评估</t>
  </si>
  <si>
    <t>上线条件评估表</t>
  </si>
  <si>
    <t>4.1</t>
  </si>
  <si>
    <t>上线切换</t>
  </si>
  <si>
    <t>上线准备</t>
  </si>
  <si>
    <t>上线方案/切换清单确认</t>
  </si>
  <si>
    <t>实施/运维/甲方</t>
  </si>
  <si>
    <t>上线实施方案</t>
  </si>
  <si>
    <t>4.2</t>
  </si>
  <si>
    <t>正式备份/数据同步准备</t>
  </si>
  <si>
    <t>研发/运维</t>
  </si>
  <si>
    <t>2.24,3.5</t>
  </si>
  <si>
    <t>正式迁移/备份准备完成</t>
  </si>
  <si>
    <t>4.3</t>
  </si>
  <si>
    <t>正式切换</t>
  </si>
  <si>
    <t>生产版本部署与接口切换</t>
  </si>
  <si>
    <t>运维/研发/第三方</t>
  </si>
  <si>
    <t>3.5,4.1</t>
  </si>
  <si>
    <t>生产部署及接口切换完成</t>
  </si>
  <si>
    <t>4.4</t>
  </si>
  <si>
    <t>正式上线</t>
  </si>
  <si>
    <t>上线确认单</t>
  </si>
  <si>
    <t>4.5</t>
  </si>
  <si>
    <t>上线验证</t>
  </si>
  <si>
    <t>上线业务快速验证</t>
  </si>
  <si>
    <t>核心业务验证通过</t>
  </si>
  <si>
    <t>4.6</t>
  </si>
  <si>
    <t>上线保障</t>
  </si>
  <si>
    <t>上线集中保障</t>
  </si>
  <si>
    <t>项目经理/研发/运维</t>
  </si>
  <si>
    <t>上线问题闭环</t>
  </si>
  <si>
    <t>5.1</t>
  </si>
  <si>
    <t>验收交付</t>
  </si>
  <si>
    <t>验收准备</t>
  </si>
  <si>
    <t>验收资料整理</t>
  </si>
  <si>
    <t>验收资料包</t>
  </si>
  <si>
    <t>5.2</t>
  </si>
  <si>
    <t>合同/功能对照与完成情况核查</t>
  </si>
  <si>
    <t>功能对照及完成情况确认</t>
  </si>
  <si>
    <t>5.3</t>
  </si>
  <si>
    <t>问题关闭</t>
  </si>
  <si>
    <t>上线遗留问题清理</t>
  </si>
  <si>
    <t>遗留问题关闭清单</t>
  </si>
  <si>
    <t>5.4</t>
  </si>
  <si>
    <t>验收条件确认</t>
  </si>
  <si>
    <t>5.1,5.2,5.3</t>
  </si>
  <si>
    <t>具备验收条件</t>
  </si>
  <si>
    <t>5.5</t>
  </si>
  <si>
    <t>正式验收</t>
  </si>
  <si>
    <t>项目验收会议</t>
  </si>
  <si>
    <t>甲方/实施</t>
  </si>
  <si>
    <t>项目验收报告/会议纪要</t>
  </si>
  <si>
    <t>5.6</t>
  </si>
  <si>
    <t>整改关闭</t>
  </si>
  <si>
    <t>验收问题整改与签字</t>
  </si>
  <si>
    <t>实施/研发</t>
  </si>
  <si>
    <t>验收问题关闭/签字</t>
  </si>
  <si>
    <t>5.7</t>
  </si>
  <si>
    <t>资料移交</t>
  </si>
  <si>
    <t>项目资料移交</t>
  </si>
  <si>
    <t>项目交付清单</t>
  </si>
  <si>
    <t>SOP阶段关键里程碑</t>
  </si>
  <si>
    <t>序号</t>
  </si>
  <si>
    <t>计划日期</t>
  </si>
  <si>
    <t>进入条件</t>
  </si>
  <si>
    <t>输出/确认</t>
  </si>
  <si>
    <t>M01</t>
  </si>
  <si>
    <t>接口、环境、人员、计划等关键前置条件满足</t>
  </si>
  <si>
    <t>进场准入结论</t>
  </si>
  <si>
    <t>M02</t>
  </si>
  <si>
    <t>准入评审通过</t>
  </si>
  <si>
    <t>M03</t>
  </si>
  <si>
    <t>实施/项目经理</t>
  </si>
  <si>
    <t>试行完成、阻塞性问题关闭</t>
  </si>
  <si>
    <t>M04</t>
  </si>
  <si>
    <t>上线条件评估通过、切换方案确认</t>
  </si>
  <si>
    <t>M05</t>
  </si>
  <si>
    <t>上线稳定、资料/遗留问题基本完成</t>
  </si>
  <si>
    <t>M06</t>
  </si>
  <si>
    <t>验收条件确认通过</t>
  </si>
  <si>
    <t>M07</t>
  </si>
  <si>
    <t>验收整改完成</t>
  </si>
  <si>
    <t>项目实施计划模板使用说明</t>
  </si>
  <si>
    <t>01</t>
  </si>
  <si>
    <t>阶段逻辑</t>
  </si>
  <si>
    <t>阶段严格按SOP划分：事前准备 → 实施执行 → 试行验证 → 上线切换 → 验收交付。</t>
  </si>
  <si>
    <t>02</t>
  </si>
  <si>
    <t>任务逻辑</t>
  </si>
  <si>
    <t>每个阶段内部使用实际实施任务，不再用SOP条款直接充当项目任务。</t>
  </si>
  <si>
    <t>03</t>
  </si>
  <si>
    <t>并行推进</t>
  </si>
  <si>
    <t>实施执行阶段内，环境、基础数据、系统配置、报告模板、接口、历史数据可并行推进。</t>
  </si>
  <si>
    <t>04</t>
  </si>
  <si>
    <t>进场准入评审通过后召开，至少甲乙双方参加，形成《项目启动会议纪要》。</t>
  </si>
  <si>
    <t>05</t>
  </si>
  <si>
    <t>环境搭建</t>
  </si>
  <si>
    <t>系统环境搭建由运维主责、实施协同。</t>
  </si>
  <si>
    <t>06</t>
  </si>
  <si>
    <t>上线前核验</t>
  </si>
  <si>
    <t>统一归入试行验证阶段的“上线条件评估”，由实施主责、项目经理确认。</t>
  </si>
  <si>
    <t>07</t>
  </si>
  <si>
    <t>旧系统替换时启用；新上线无迁移时将相关任务标记为“不适用”。</t>
  </si>
  <si>
    <t>08</t>
  </si>
  <si>
    <t>计划更新</t>
  </si>
  <si>
    <t>修改F2计划开始日期后，计划日期、目标上线、验收日期和甘特图自动联动。</t>
  </si>
  <si>
    <t>09</t>
  </si>
  <si>
    <t>周会维护</t>
  </si>
  <si>
    <t>每周只更新状态、完成率、当前问题/备注；基线日期确需调整时记录延期原因。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</si>
</sst>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m/d"/>
  </numFmts>
  <fonts count="32">
    <font>
      <sz val="11"/>
      <name val="Carlito"/>
      <charset val="134"/>
    </font>
    <font>
      <b/>
      <sz val="16"/>
      <color rgb="FFFFFFFF"/>
      <name val="微软雅黑"/>
      <charset val="134"/>
    </font>
    <font>
      <sz val="10.5"/>
      <color rgb="FF263238"/>
      <name val="微软雅黑"/>
      <charset val="134"/>
    </font>
    <font>
      <sz val="9"/>
      <color rgb="FF17365D"/>
      <name val="微软雅黑"/>
      <charset val="134"/>
    </font>
    <font>
      <b/>
      <sz val="10"/>
      <color rgb="FFFFFFFF"/>
      <name val="微软雅黑"/>
      <charset val="134"/>
    </font>
    <font>
      <sz val="9.5"/>
      <color rgb="FF263238"/>
      <name val="微软雅黑"/>
      <charset val="134"/>
    </font>
    <font>
      <b/>
      <sz val="9"/>
      <color rgb="FF17365D"/>
      <name val="微软雅黑"/>
      <charset val="134"/>
    </font>
    <font>
      <sz val="9"/>
      <color rgb="FF2F75B5"/>
      <name val="微软雅黑"/>
      <charset val="134"/>
    </font>
    <font>
      <sz val="9"/>
      <color rgb="FF263238"/>
      <name val="微软雅黑"/>
      <charset val="134"/>
    </font>
    <font>
      <b/>
      <sz val="9"/>
      <color rgb="FFFFFFFF"/>
      <name val="微软雅黑"/>
      <charset val="134"/>
    </font>
    <font>
      <b/>
      <sz val="9.5"/>
      <color rgb="FFFFFFFF"/>
      <name val="微软雅黑"/>
      <charset val="134"/>
    </font>
    <font>
      <sz val="8"/>
      <color rgb="FF263238"/>
      <name val="Aptos Narrow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4F8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A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17365D"/>
      </left>
      <right style="thin">
        <color rgb="FFC7D3E0"/>
      </right>
      <top style="thin">
        <color rgb="FF17365D"/>
      </top>
      <bottom style="thin">
        <color rgb="FFC7D3E0"/>
      </bottom>
      <diagonal/>
    </border>
    <border>
      <left style="thin">
        <color rgb="FFC7D3E0"/>
      </left>
      <right style="thin">
        <color rgb="FFC7D3E0"/>
      </right>
      <top style="thin">
        <color rgb="FF17365D"/>
      </top>
      <bottom style="thin">
        <color rgb="FFC7D3E0"/>
      </bottom>
      <diagonal/>
    </border>
    <border>
      <left style="thin">
        <color rgb="FFC7D3E0"/>
      </left>
      <right style="thin">
        <color rgb="FF17365D"/>
      </right>
      <top style="thin">
        <color rgb="FF17365D"/>
      </top>
      <bottom style="thin">
        <color rgb="FFC7D3E0"/>
      </bottom>
      <diagonal/>
    </border>
    <border>
      <left style="thin">
        <color rgb="FF17365D"/>
      </left>
      <right style="thin">
        <color rgb="FFC7D3E0"/>
      </right>
      <top style="thin">
        <color rgb="FFC7D3E0"/>
      </top>
      <bottom style="thin">
        <color rgb="FFC7D3E0"/>
      </bottom>
      <diagonal/>
    </border>
    <border>
      <left style="thin">
        <color rgb="FFC7D3E0"/>
      </left>
      <right style="thin">
        <color rgb="FFC7D3E0"/>
      </right>
      <top style="thin">
        <color rgb="FFC7D3E0"/>
      </top>
      <bottom style="thin">
        <color rgb="FFC7D3E0"/>
      </bottom>
      <diagonal/>
    </border>
    <border>
      <left style="thin">
        <color rgb="FFC7D3E0"/>
      </left>
      <right style="thin">
        <color rgb="FF17365D"/>
      </right>
      <top style="thin">
        <color rgb="FFC7D3E0"/>
      </top>
      <bottom style="thin">
        <color rgb="FFC7D3E0"/>
      </bottom>
      <diagonal/>
    </border>
    <border>
      <left style="thin">
        <color rgb="FF17365D"/>
      </left>
      <right style="thin">
        <color rgb="FFC7D3E0"/>
      </right>
      <top style="thin">
        <color rgb="FFC7D3E0"/>
      </top>
      <bottom style="thin">
        <color rgb="FF17365D"/>
      </bottom>
      <diagonal/>
    </border>
    <border>
      <left style="thin">
        <color rgb="FFC7D3E0"/>
      </left>
      <right style="thin">
        <color rgb="FFC7D3E0"/>
      </right>
      <top style="thin">
        <color rgb="FFC7D3E0"/>
      </top>
      <bottom style="thin">
        <color rgb="FF17365D"/>
      </bottom>
      <diagonal/>
    </border>
    <border>
      <left style="thin">
        <color rgb="FFC7D3E0"/>
      </left>
      <right style="thin">
        <color rgb="FF17365D"/>
      </right>
      <top style="thin">
        <color rgb="FFC7D3E0"/>
      </top>
      <bottom style="thin">
        <color rgb="FF17365D"/>
      </bottom>
      <diagonal/>
    </border>
    <border>
      <left/>
      <right/>
      <top/>
      <bottom style="thin">
        <color rgb="FFB7C9D6"/>
      </bottom>
      <diagonal/>
    </border>
    <border>
      <left style="thin">
        <color rgb="FFC7D3E0"/>
      </left>
      <right style="thin">
        <color rgb="FFC7D3E0"/>
      </right>
      <top style="thin">
        <color rgb="FFC7D3E0"/>
      </top>
      <bottom/>
      <diagonal/>
    </border>
    <border>
      <left style="thin">
        <color rgb="FFC7D3E0"/>
      </left>
      <right style="thin">
        <color rgb="FFC7D3E0"/>
      </right>
      <top/>
      <bottom/>
      <diagonal/>
    </border>
    <border>
      <left style="thin">
        <color rgb="FFC7D3E0"/>
      </left>
      <right style="thin">
        <color rgb="FFC7D3E0"/>
      </right>
      <top/>
      <bottom style="thin">
        <color rgb="FFC7D3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0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17" applyNumberFormat="0" applyAlignment="0" applyProtection="0">
      <alignment vertical="center"/>
    </xf>
    <xf numFmtId="0" fontId="22" fillId="12" borderId="18" applyNumberFormat="0" applyAlignment="0" applyProtection="0">
      <alignment vertical="center"/>
    </xf>
    <xf numFmtId="0" fontId="23" fillId="12" borderId="17" applyNumberFormat="0" applyAlignment="0" applyProtection="0">
      <alignment vertical="center"/>
    </xf>
    <xf numFmtId="0" fontId="24" fillId="13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0" fillId="0" borderId="0"/>
  </cellStyleXfs>
  <cellXfs count="83">
    <xf numFmtId="0" fontId="0" fillId="0" borderId="0" xfId="0" applyAlignment="1"/>
    <xf numFmtId="0" fontId="1" fillId="2" borderId="1" xfId="49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4" xfId="49" applyFont="1" applyFill="1" applyBorder="1" applyAlignment="1">
      <alignment vertical="center" wrapText="1"/>
    </xf>
    <xf numFmtId="0" fontId="2" fillId="3" borderId="5" xfId="49" applyFont="1" applyFill="1" applyBorder="1" applyAlignment="1">
      <alignment vertical="center" wrapText="1"/>
    </xf>
    <xf numFmtId="0" fontId="2" fillId="3" borderId="6" xfId="49" applyFont="1" applyFill="1" applyBorder="1" applyAlignment="1">
      <alignment vertical="center" wrapText="1"/>
    </xf>
    <xf numFmtId="0" fontId="2" fillId="4" borderId="4" xfId="49" applyFont="1" applyFill="1" applyBorder="1" applyAlignment="1">
      <alignment vertical="center" wrapText="1"/>
    </xf>
    <xf numFmtId="0" fontId="2" fillId="4" borderId="5" xfId="49" applyFont="1" applyFill="1" applyBorder="1" applyAlignment="1">
      <alignment vertical="center" wrapText="1"/>
    </xf>
    <xf numFmtId="0" fontId="2" fillId="4" borderId="6" xfId="49" applyFont="1" applyFill="1" applyBorder="1" applyAlignment="1">
      <alignment vertical="center" wrapText="1"/>
    </xf>
    <xf numFmtId="0" fontId="2" fillId="3" borderId="7" xfId="49" applyFont="1" applyFill="1" applyBorder="1" applyAlignment="1">
      <alignment vertical="center" wrapText="1"/>
    </xf>
    <xf numFmtId="0" fontId="2" fillId="3" borderId="8" xfId="49" applyFont="1" applyFill="1" applyBorder="1" applyAlignment="1">
      <alignment vertical="center" wrapText="1"/>
    </xf>
    <xf numFmtId="0" fontId="2" fillId="3" borderId="9" xfId="49" applyFont="1" applyFill="1" applyBorder="1" applyAlignment="1">
      <alignment vertical="center" wrapText="1"/>
    </xf>
    <xf numFmtId="0" fontId="1" fillId="2" borderId="1" xfId="49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4" fillId="5" borderId="4" xfId="49" applyFont="1" applyFill="1" applyBorder="1" applyAlignment="1">
      <alignment horizontal="center" vertical="center" wrapText="1"/>
    </xf>
    <xf numFmtId="0" fontId="4" fillId="5" borderId="5" xfId="49" applyFont="1" applyFill="1" applyBorder="1" applyAlignment="1">
      <alignment horizontal="center" vertical="center" wrapText="1"/>
    </xf>
    <xf numFmtId="0" fontId="4" fillId="5" borderId="6" xfId="49" applyFont="1" applyFill="1" applyBorder="1" applyAlignment="1">
      <alignment horizontal="center" vertical="center" wrapText="1"/>
    </xf>
    <xf numFmtId="0" fontId="5" fillId="3" borderId="4" xfId="49" applyFont="1" applyFill="1" applyBorder="1" applyAlignment="1">
      <alignment vertical="center" wrapText="1"/>
    </xf>
    <xf numFmtId="0" fontId="5" fillId="3" borderId="5" xfId="49" applyFont="1" applyFill="1" applyBorder="1" applyAlignment="1">
      <alignment vertical="center" wrapText="1"/>
    </xf>
    <xf numFmtId="176" fontId="5" fillId="6" borderId="5" xfId="49" applyNumberFormat="1" applyFont="1" applyFill="1" applyBorder="1" applyAlignment="1">
      <alignment vertical="center" wrapText="1"/>
    </xf>
    <xf numFmtId="0" fontId="5" fillId="6" borderId="6" xfId="49" applyFont="1" applyFill="1" applyBorder="1" applyAlignment="1">
      <alignment vertical="center" wrapText="1"/>
    </xf>
    <xf numFmtId="0" fontId="5" fillId="7" borderId="4" xfId="49" applyFont="1" applyFill="1" applyBorder="1" applyAlignment="1">
      <alignment vertical="center" wrapText="1"/>
    </xf>
    <xf numFmtId="0" fontId="5" fillId="7" borderId="5" xfId="49" applyFont="1" applyFill="1" applyBorder="1" applyAlignment="1">
      <alignment vertical="center" wrapText="1"/>
    </xf>
    <xf numFmtId="0" fontId="5" fillId="3" borderId="7" xfId="49" applyFont="1" applyFill="1" applyBorder="1" applyAlignment="1">
      <alignment vertical="center" wrapText="1"/>
    </xf>
    <xf numFmtId="0" fontId="5" fillId="3" borderId="8" xfId="49" applyFont="1" applyFill="1" applyBorder="1" applyAlignment="1">
      <alignment vertical="center" wrapText="1"/>
    </xf>
    <xf numFmtId="176" fontId="5" fillId="6" borderId="8" xfId="49" applyNumberFormat="1" applyFont="1" applyFill="1" applyBorder="1" applyAlignment="1">
      <alignment vertical="center" wrapText="1"/>
    </xf>
    <xf numFmtId="0" fontId="5" fillId="6" borderId="9" xfId="49" applyFont="1" applyFill="1" applyBorder="1" applyAlignment="1">
      <alignment vertical="center" wrapText="1"/>
    </xf>
    <xf numFmtId="0" fontId="1" fillId="2" borderId="0" xfId="49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6" fillId="4" borderId="1" xfId="49" applyFont="1" applyFill="1" applyBorder="1" applyAlignment="1">
      <alignment vertical="center" wrapText="1"/>
    </xf>
    <xf numFmtId="0" fontId="7" fillId="6" borderId="2" xfId="49" applyFont="1" applyFill="1" applyBorder="1" applyAlignment="1">
      <alignment vertical="center" wrapText="1"/>
    </xf>
    <xf numFmtId="0" fontId="6" fillId="4" borderId="2" xfId="49" applyFont="1" applyFill="1" applyBorder="1" applyAlignment="1">
      <alignment vertical="center" wrapText="1"/>
    </xf>
    <xf numFmtId="0" fontId="8" fillId="4" borderId="2" xfId="49" applyFont="1" applyFill="1" applyBorder="1" applyAlignment="1">
      <alignment vertical="center" wrapText="1"/>
    </xf>
    <xf numFmtId="176" fontId="7" fillId="6" borderId="2" xfId="49" applyNumberFormat="1" applyFont="1" applyFill="1" applyBorder="1" applyAlignment="1">
      <alignment vertical="center" wrapText="1"/>
    </xf>
    <xf numFmtId="176" fontId="6" fillId="4" borderId="2" xfId="49" applyNumberFormat="1" applyFont="1" applyFill="1" applyBorder="1" applyAlignment="1">
      <alignment vertical="center" wrapText="1"/>
    </xf>
    <xf numFmtId="176" fontId="6" fillId="8" borderId="2" xfId="49" applyNumberFormat="1" applyFont="1" applyFill="1" applyBorder="1" applyAlignment="1">
      <alignment vertical="center" wrapText="1"/>
    </xf>
    <xf numFmtId="1" fontId="6" fillId="8" borderId="2" xfId="49" applyNumberFormat="1" applyFont="1" applyFill="1" applyBorder="1" applyAlignment="1">
      <alignment vertical="center" wrapText="1"/>
    </xf>
    <xf numFmtId="1" fontId="6" fillId="4" borderId="2" xfId="49" applyNumberFormat="1" applyFont="1" applyFill="1" applyBorder="1" applyAlignment="1">
      <alignment vertical="center" wrapText="1"/>
    </xf>
    <xf numFmtId="0" fontId="6" fillId="4" borderId="3" xfId="49" applyFont="1" applyFill="1" applyBorder="1" applyAlignment="1">
      <alignment vertical="center" wrapText="1"/>
    </xf>
    <xf numFmtId="9" fontId="8" fillId="2" borderId="10" xfId="49" applyNumberFormat="1" applyFont="1" applyFill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10" xfId="49" applyFont="1" applyBorder="1" applyAlignment="1">
      <alignment vertical="center" wrapText="1"/>
    </xf>
    <xf numFmtId="0" fontId="6" fillId="4" borderId="4" xfId="49" applyFont="1" applyFill="1" applyBorder="1" applyAlignment="1">
      <alignment vertical="center" wrapText="1"/>
    </xf>
    <xf numFmtId="0" fontId="7" fillId="6" borderId="5" xfId="49" applyFont="1" applyFill="1" applyBorder="1" applyAlignment="1">
      <alignment vertical="center" wrapText="1"/>
    </xf>
    <xf numFmtId="0" fontId="6" fillId="4" borderId="5" xfId="49" applyFont="1" applyFill="1" applyBorder="1" applyAlignment="1">
      <alignment vertical="center" wrapText="1"/>
    </xf>
    <xf numFmtId="0" fontId="8" fillId="4" borderId="5" xfId="49" applyFont="1" applyFill="1" applyBorder="1" applyAlignment="1">
      <alignment vertical="center" wrapText="1"/>
    </xf>
    <xf numFmtId="176" fontId="7" fillId="6" borderId="5" xfId="49" applyNumberFormat="1" applyFont="1" applyFill="1" applyBorder="1" applyAlignment="1">
      <alignment vertical="center" wrapText="1"/>
    </xf>
    <xf numFmtId="176" fontId="6" fillId="4" borderId="5" xfId="49" applyNumberFormat="1" applyFont="1" applyFill="1" applyBorder="1" applyAlignment="1">
      <alignment vertical="center" wrapText="1"/>
    </xf>
    <xf numFmtId="176" fontId="6" fillId="8" borderId="5" xfId="49" applyNumberFormat="1" applyFont="1" applyFill="1" applyBorder="1" applyAlignment="1">
      <alignment vertical="center" wrapText="1"/>
    </xf>
    <xf numFmtId="0" fontId="6" fillId="4" borderId="6" xfId="49" applyFont="1" applyFill="1" applyBorder="1" applyAlignment="1">
      <alignment vertical="center" wrapText="1"/>
    </xf>
    <xf numFmtId="0" fontId="8" fillId="0" borderId="4" xfId="49" applyFont="1" applyBorder="1" applyAlignment="1">
      <alignment vertical="center" wrapText="1"/>
    </xf>
    <xf numFmtId="0" fontId="8" fillId="0" borderId="5" xfId="49" applyFont="1" applyBorder="1" applyAlignment="1">
      <alignment vertical="center" wrapText="1"/>
    </xf>
    <xf numFmtId="0" fontId="8" fillId="0" borderId="6" xfId="49" applyFont="1" applyBorder="1" applyAlignment="1">
      <alignment vertical="center" wrapText="1"/>
    </xf>
    <xf numFmtId="177" fontId="9" fillId="2" borderId="10" xfId="49" applyNumberFormat="1" applyFont="1" applyFill="1" applyBorder="1" applyAlignment="1">
      <alignment horizontal="center" vertical="center" wrapText="1"/>
    </xf>
    <xf numFmtId="0" fontId="10" fillId="5" borderId="4" xfId="49" applyFont="1" applyFill="1" applyBorder="1" applyAlignment="1">
      <alignment horizontal="center" vertical="center" wrapText="1"/>
    </xf>
    <xf numFmtId="0" fontId="10" fillId="5" borderId="5" xfId="49" applyFont="1" applyFill="1" applyBorder="1" applyAlignment="1">
      <alignment horizontal="center" vertical="center" wrapText="1"/>
    </xf>
    <xf numFmtId="0" fontId="10" fillId="5" borderId="6" xfId="49" applyFont="1" applyFill="1" applyBorder="1" applyAlignment="1">
      <alignment horizontal="center" vertical="center" wrapText="1"/>
    </xf>
    <xf numFmtId="0" fontId="9" fillId="2" borderId="10" xfId="49" applyFont="1" applyFill="1" applyBorder="1" applyAlignment="1">
      <alignment horizontal="center" vertical="center" wrapText="1"/>
    </xf>
    <xf numFmtId="0" fontId="8" fillId="9" borderId="5" xfId="49" applyFont="1" applyFill="1" applyBorder="1" applyAlignment="1">
      <alignment vertical="center" wrapText="1"/>
    </xf>
    <xf numFmtId="0" fontId="8" fillId="0" borderId="11" xfId="49" applyFont="1" applyBorder="1" applyAlignment="1">
      <alignment horizontal="left" vertical="center" wrapText="1"/>
    </xf>
    <xf numFmtId="176" fontId="8" fillId="0" borderId="5" xfId="49" applyNumberFormat="1" applyFont="1" applyBorder="1" applyAlignment="1">
      <alignment vertical="center" wrapText="1"/>
    </xf>
    <xf numFmtId="9" fontId="8" fillId="0" borderId="5" xfId="49" applyNumberFormat="1" applyFont="1" applyBorder="1" applyAlignment="1">
      <alignment vertical="center" wrapText="1"/>
    </xf>
    <xf numFmtId="0" fontId="11" fillId="0" borderId="10" xfId="49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8" fillId="0" borderId="12" xfId="49" applyFont="1" applyBorder="1" applyAlignment="1">
      <alignment horizontal="left" vertical="center" wrapText="1"/>
    </xf>
    <xf numFmtId="0" fontId="8" fillId="0" borderId="4" xfId="49" applyFont="1" applyBorder="1" applyAlignment="1">
      <alignment horizontal="left" vertical="center" wrapText="1"/>
    </xf>
    <xf numFmtId="0" fontId="8" fillId="0" borderId="13" xfId="49" applyFont="1" applyBorder="1" applyAlignment="1">
      <alignment horizontal="left" vertical="center" wrapText="1"/>
    </xf>
    <xf numFmtId="0" fontId="8" fillId="0" borderId="5" xfId="49" applyFont="1" applyBorder="1" applyAlignment="1">
      <alignment horizontal="left" vertical="center" wrapText="1"/>
    </xf>
    <xf numFmtId="0" fontId="8" fillId="0" borderId="7" xfId="49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8" xfId="49" applyFont="1" applyBorder="1" applyAlignment="1">
      <alignment vertical="center" wrapText="1"/>
    </xf>
    <xf numFmtId="176" fontId="8" fillId="0" borderId="8" xfId="49" applyNumberFormat="1" applyFont="1" applyBorder="1" applyAlignment="1">
      <alignment vertical="center" wrapText="1"/>
    </xf>
    <xf numFmtId="9" fontId="8" fillId="0" borderId="8" xfId="49" applyNumberFormat="1" applyFont="1" applyBorder="1" applyAlignment="1">
      <alignment vertical="center" wrapText="1"/>
    </xf>
    <xf numFmtId="0" fontId="8" fillId="0" borderId="9" xfId="49" applyFont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font>
        <b val="1"/>
        <color rgb="FF17365D"/>
      </font>
      <fill>
        <patternFill patternType="solid">
          <bgColor rgb="FFEAF1F8"/>
        </patternFill>
      </fill>
    </dxf>
    <dxf>
      <font>
        <color rgb="FF3F7D5A"/>
      </font>
      <fill>
        <patternFill patternType="solid">
          <bgColor rgb="FFE6F3EA"/>
        </patternFill>
      </fill>
    </dxf>
    <dxf>
      <font>
        <b val="1"/>
        <color rgb="FFB42318"/>
      </font>
      <fill>
        <patternFill patternType="solid">
          <bgColor rgb="FFFDECEC"/>
        </patternFill>
      </fill>
    </dxf>
    <dxf>
      <font>
        <b val="1"/>
        <color rgb="FFC77C22"/>
      </font>
      <fill>
        <patternFill patternType="solid">
          <bgColor rgb="FFFFF3E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75B5"/>
    <pageSetUpPr fitToPage="1"/>
  </sheetPr>
  <dimension ref="A1:AE60"/>
  <sheetViews>
    <sheetView showGridLines="0" tabSelected="1" workbookViewId="0">
      <pane ySplit="5" topLeftCell="A6" activePane="bottomLeft" state="frozen"/>
      <selection/>
      <selection pane="bottomLeft" activeCell="E12" sqref="E12"/>
    </sheetView>
  </sheetViews>
  <sheetFormatPr defaultColWidth="9" defaultRowHeight="14.25"/>
  <cols>
    <col min="1" max="1" width="9" customWidth="1"/>
    <col min="2" max="3" width="14" customWidth="1"/>
    <col min="4" max="4" width="28" customWidth="1"/>
    <col min="5" max="5" width="12" customWidth="1"/>
    <col min="6" max="6" width="10" customWidth="1"/>
    <col min="7" max="7" width="12" customWidth="1"/>
    <col min="8" max="8" width="16" customWidth="1"/>
    <col min="9" max="9" width="13" customWidth="1"/>
    <col min="10" max="10" width="10" customWidth="1"/>
    <col min="11" max="11" width="13" customWidth="1"/>
    <col min="12" max="12" width="14" customWidth="1"/>
    <col min="13" max="13" width="12" customWidth="1"/>
    <col min="14" max="14" width="10" customWidth="1"/>
    <col min="15" max="15" width="28" customWidth="1"/>
    <col min="16" max="16" width="34" customWidth="1"/>
    <col min="17" max="18" width="22" customWidth="1"/>
    <col min="19" max="30" width="8" customWidth="1"/>
  </cols>
  <sheetData>
    <row r="1" ht="34" customHeight="1" spans="1:3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</row>
    <row r="2" ht="24" customHeight="1" spans="1:31">
      <c r="A2" s="38" t="s">
        <v>1</v>
      </c>
      <c r="B2" s="39" t="s">
        <v>2</v>
      </c>
      <c r="C2" s="40" t="s">
        <v>3</v>
      </c>
      <c r="D2" s="41"/>
      <c r="E2" s="40" t="s">
        <v>4</v>
      </c>
      <c r="F2" s="42" t="s">
        <v>5</v>
      </c>
      <c r="G2" s="43" t="s">
        <v>6</v>
      </c>
      <c r="H2" s="44">
        <f>K51</f>
        <v>0</v>
      </c>
      <c r="I2" s="41"/>
      <c r="J2" s="40" t="s">
        <v>7</v>
      </c>
      <c r="K2" s="45" t="str">
        <f>IFERROR(MAX(K6:K60)-$F$2+1,"")</f>
        <v/>
      </c>
      <c r="L2" s="46" t="s">
        <v>8</v>
      </c>
      <c r="M2" s="45">
        <f>COUNTA(D6:D60)</f>
        <v>55</v>
      </c>
      <c r="N2" s="46" t="s">
        <v>9</v>
      </c>
      <c r="O2" s="45">
        <f>COUNTIF(E6:E60,"里程碑")</f>
        <v>7</v>
      </c>
      <c r="P2" s="47" t="s">
        <v>10</v>
      </c>
      <c r="Q2" s="48" t="s">
        <v>11</v>
      </c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50"/>
      <c r="AD2" s="50"/>
      <c r="AE2" s="50"/>
    </row>
    <row r="3" ht="24" customHeight="1" spans="1:31">
      <c r="A3" s="51" t="s">
        <v>12</v>
      </c>
      <c r="B3" s="52" t="s">
        <v>13</v>
      </c>
      <c r="C3" s="53" t="s">
        <v>14</v>
      </c>
      <c r="D3" s="54"/>
      <c r="E3" s="53" t="s">
        <v>15</v>
      </c>
      <c r="F3" s="55" t="s">
        <v>16</v>
      </c>
      <c r="G3" s="56" t="s">
        <v>17</v>
      </c>
      <c r="H3" s="57">
        <f>K60</f>
        <v>0</v>
      </c>
      <c r="I3" s="54"/>
      <c r="J3" s="53" t="s">
        <v>18</v>
      </c>
      <c r="K3" s="54"/>
      <c r="L3" s="53" t="s">
        <v>19</v>
      </c>
      <c r="M3" s="54"/>
      <c r="N3" s="53" t="s">
        <v>20</v>
      </c>
      <c r="O3" s="54"/>
      <c r="P3" s="58" t="s">
        <v>21</v>
      </c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</row>
    <row r="4" spans="1:31">
      <c r="A4" s="59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1"/>
      <c r="Q4" s="62" t="str">
        <f>IFERROR($F$2-WEEKDAY($F$2,2)+1,"")</f>
        <v/>
      </c>
      <c r="R4" s="62" t="str">
        <f t="shared" ref="R4:AB4" si="0">IFERROR(Q4+7,"")</f>
        <v/>
      </c>
      <c r="S4" s="62" t="str">
        <f t="shared" si="0"/>
        <v/>
      </c>
      <c r="T4" s="62" t="str">
        <f t="shared" si="0"/>
        <v/>
      </c>
      <c r="U4" s="62" t="str">
        <f t="shared" si="0"/>
        <v/>
      </c>
      <c r="V4" s="62" t="str">
        <f t="shared" si="0"/>
        <v/>
      </c>
      <c r="W4" s="62" t="str">
        <f t="shared" si="0"/>
        <v/>
      </c>
      <c r="X4" s="62" t="str">
        <f t="shared" si="0"/>
        <v/>
      </c>
      <c r="Y4" s="62" t="str">
        <f t="shared" si="0"/>
        <v/>
      </c>
      <c r="Z4" s="62" t="str">
        <f t="shared" si="0"/>
        <v/>
      </c>
      <c r="AA4" s="62" t="str">
        <f t="shared" si="0"/>
        <v/>
      </c>
      <c r="AB4" s="62" t="str">
        <f t="shared" si="0"/>
        <v/>
      </c>
      <c r="AC4" s="50"/>
      <c r="AD4" s="50"/>
      <c r="AE4" s="50"/>
    </row>
    <row r="5" ht="30" customHeight="1" spans="1:31">
      <c r="A5" s="63" t="s">
        <v>22</v>
      </c>
      <c r="B5" s="64" t="s">
        <v>23</v>
      </c>
      <c r="C5" s="64" t="s">
        <v>24</v>
      </c>
      <c r="D5" s="64" t="s">
        <v>25</v>
      </c>
      <c r="E5" s="64" t="s">
        <v>26</v>
      </c>
      <c r="F5" s="64" t="s">
        <v>27</v>
      </c>
      <c r="G5" s="64" t="s">
        <v>28</v>
      </c>
      <c r="H5" s="64" t="s">
        <v>29</v>
      </c>
      <c r="I5" s="64" t="s">
        <v>30</v>
      </c>
      <c r="J5" s="64" t="s">
        <v>31</v>
      </c>
      <c r="K5" s="64" t="s">
        <v>32</v>
      </c>
      <c r="L5" s="64" t="s">
        <v>33</v>
      </c>
      <c r="M5" s="64" t="s">
        <v>34</v>
      </c>
      <c r="N5" s="64" t="s">
        <v>35</v>
      </c>
      <c r="O5" s="64" t="s">
        <v>36</v>
      </c>
      <c r="P5" s="65" t="s">
        <v>37</v>
      </c>
      <c r="Q5" s="66" t="str">
        <f t="shared" ref="Q5:AB5" si="1">"W"&amp;COLUMN()-COLUMN($Q$5)+1</f>
        <v>W1</v>
      </c>
      <c r="R5" s="66" t="str">
        <f t="shared" si="1"/>
        <v>W2</v>
      </c>
      <c r="S5" s="66" t="str">
        <f t="shared" si="1"/>
        <v>W3</v>
      </c>
      <c r="T5" s="66" t="str">
        <f t="shared" si="1"/>
        <v>W4</v>
      </c>
      <c r="U5" s="66" t="str">
        <f t="shared" si="1"/>
        <v>W5</v>
      </c>
      <c r="V5" s="66" t="str">
        <f t="shared" si="1"/>
        <v>W6</v>
      </c>
      <c r="W5" s="66" t="str">
        <f t="shared" si="1"/>
        <v>W7</v>
      </c>
      <c r="X5" s="66" t="str">
        <f t="shared" si="1"/>
        <v>W8</v>
      </c>
      <c r="Y5" s="66" t="str">
        <f t="shared" si="1"/>
        <v>W9</v>
      </c>
      <c r="Z5" s="66" t="str">
        <f t="shared" si="1"/>
        <v>W10</v>
      </c>
      <c r="AA5" s="66" t="str">
        <f t="shared" si="1"/>
        <v>W11</v>
      </c>
      <c r="AB5" s="66" t="str">
        <f t="shared" si="1"/>
        <v>W12</v>
      </c>
      <c r="AC5" s="50"/>
      <c r="AD5" s="50"/>
      <c r="AE5" s="50"/>
    </row>
    <row r="6" ht="21" customHeight="1" spans="1:31">
      <c r="A6" s="59" t="s">
        <v>38</v>
      </c>
      <c r="B6" s="67" t="s">
        <v>39</v>
      </c>
      <c r="C6" s="68" t="s">
        <v>40</v>
      </c>
      <c r="D6" s="60" t="s">
        <v>41</v>
      </c>
      <c r="E6" s="60" t="s">
        <v>42</v>
      </c>
      <c r="F6" s="60" t="s">
        <v>43</v>
      </c>
      <c r="G6" s="60" t="s">
        <v>3</v>
      </c>
      <c r="H6" s="60" t="s">
        <v>44</v>
      </c>
      <c r="I6" s="69"/>
      <c r="J6" s="69"/>
      <c r="K6" s="69"/>
      <c r="L6" s="60"/>
      <c r="M6" s="60" t="s">
        <v>45</v>
      </c>
      <c r="N6" s="70">
        <v>0</v>
      </c>
      <c r="O6" s="60" t="s">
        <v>46</v>
      </c>
      <c r="P6" s="61"/>
      <c r="Q6" s="71" t="str">
        <f t="shared" ref="Q6:AB6" si="2">IFERROR(IF(AND(Q$4&lt;=$K6,Q$4+6&gt;=$I6),"■",""),"")</f>
        <v/>
      </c>
      <c r="R6" s="71" t="str">
        <f t="shared" si="2"/>
        <v/>
      </c>
      <c r="S6" s="71" t="str">
        <f t="shared" si="2"/>
        <v/>
      </c>
      <c r="T6" s="71" t="str">
        <f t="shared" si="2"/>
        <v/>
      </c>
      <c r="U6" s="71" t="str">
        <f t="shared" si="2"/>
        <v/>
      </c>
      <c r="V6" s="71" t="str">
        <f t="shared" si="2"/>
        <v/>
      </c>
      <c r="W6" s="71" t="str">
        <f t="shared" si="2"/>
        <v/>
      </c>
      <c r="X6" s="71" t="str">
        <f t="shared" si="2"/>
        <v/>
      </c>
      <c r="Y6" s="71" t="str">
        <f t="shared" si="2"/>
        <v/>
      </c>
      <c r="Z6" s="71" t="str">
        <f t="shared" si="2"/>
        <v/>
      </c>
      <c r="AA6" s="71" t="str">
        <f t="shared" si="2"/>
        <v/>
      </c>
      <c r="AB6" s="71" t="str">
        <f t="shared" si="2"/>
        <v/>
      </c>
      <c r="AC6" s="50"/>
      <c r="AD6" s="50"/>
      <c r="AE6" s="50"/>
    </row>
    <row r="7" ht="21" customHeight="1" spans="1:31">
      <c r="A7" s="59" t="s">
        <v>47</v>
      </c>
      <c r="B7" s="72"/>
      <c r="C7" s="73"/>
      <c r="D7" s="60" t="s">
        <v>48</v>
      </c>
      <c r="E7" s="60" t="s">
        <v>42</v>
      </c>
      <c r="F7" s="60" t="s">
        <v>43</v>
      </c>
      <c r="G7" s="60" t="s">
        <v>3</v>
      </c>
      <c r="H7" s="60" t="s">
        <v>49</v>
      </c>
      <c r="I7" s="69"/>
      <c r="J7" s="69"/>
      <c r="K7" s="69"/>
      <c r="L7" s="60" t="s">
        <v>38</v>
      </c>
      <c r="M7" s="60" t="s">
        <v>45</v>
      </c>
      <c r="N7" s="70">
        <v>0</v>
      </c>
      <c r="O7" s="60" t="s">
        <v>50</v>
      </c>
      <c r="P7" s="61"/>
      <c r="Q7" s="71" t="str">
        <f t="shared" ref="Q7:AB7" si="3">IFERROR(IF(AND(Q$4&lt;=$K7,Q$4+6&gt;=$I7),"■",""),"")</f>
        <v/>
      </c>
      <c r="R7" s="71" t="str">
        <f t="shared" si="3"/>
        <v/>
      </c>
      <c r="S7" s="71" t="str">
        <f t="shared" si="3"/>
        <v/>
      </c>
      <c r="T7" s="71" t="str">
        <f t="shared" si="3"/>
        <v/>
      </c>
      <c r="U7" s="71" t="str">
        <f t="shared" si="3"/>
        <v/>
      </c>
      <c r="V7" s="71" t="str">
        <f t="shared" si="3"/>
        <v/>
      </c>
      <c r="W7" s="71" t="str">
        <f t="shared" si="3"/>
        <v/>
      </c>
      <c r="X7" s="71" t="str">
        <f t="shared" si="3"/>
        <v/>
      </c>
      <c r="Y7" s="71" t="str">
        <f t="shared" si="3"/>
        <v/>
      </c>
      <c r="Z7" s="71" t="str">
        <f t="shared" si="3"/>
        <v/>
      </c>
      <c r="AA7" s="71" t="str">
        <f t="shared" si="3"/>
        <v/>
      </c>
      <c r="AB7" s="71" t="str">
        <f t="shared" si="3"/>
        <v/>
      </c>
      <c r="AC7" s="50"/>
      <c r="AD7" s="50"/>
      <c r="AE7" s="50"/>
    </row>
    <row r="8" ht="21" customHeight="1" spans="1:31">
      <c r="A8" s="74">
        <v>1.3</v>
      </c>
      <c r="B8" s="72"/>
      <c r="C8" s="75"/>
      <c r="D8" s="60" t="s">
        <v>51</v>
      </c>
      <c r="E8" s="60" t="s">
        <v>42</v>
      </c>
      <c r="F8" s="60" t="s">
        <v>43</v>
      </c>
      <c r="G8" s="60" t="s">
        <v>52</v>
      </c>
      <c r="H8" s="60" t="s">
        <v>53</v>
      </c>
      <c r="I8" s="69"/>
      <c r="J8" s="69"/>
      <c r="K8" s="69"/>
      <c r="L8" s="76">
        <v>1.1</v>
      </c>
      <c r="M8" s="60" t="s">
        <v>45</v>
      </c>
      <c r="N8" s="70">
        <v>0</v>
      </c>
      <c r="O8" s="60" t="s">
        <v>54</v>
      </c>
      <c r="P8" s="6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50"/>
      <c r="AD8" s="50"/>
      <c r="AE8" s="50"/>
    </row>
    <row r="9" ht="21" customHeight="1" spans="1:31">
      <c r="A9" s="59" t="s">
        <v>55</v>
      </c>
      <c r="B9" s="72"/>
      <c r="C9" s="60" t="s">
        <v>56</v>
      </c>
      <c r="D9" s="60" t="s">
        <v>57</v>
      </c>
      <c r="E9" s="60" t="s">
        <v>42</v>
      </c>
      <c r="F9" s="60" t="s">
        <v>43</v>
      </c>
      <c r="G9" s="60" t="s">
        <v>3</v>
      </c>
      <c r="H9" s="60" t="s">
        <v>58</v>
      </c>
      <c r="I9" s="69"/>
      <c r="J9" s="69"/>
      <c r="K9" s="69"/>
      <c r="L9" s="60" t="s">
        <v>38</v>
      </c>
      <c r="M9" s="60" t="s">
        <v>45</v>
      </c>
      <c r="N9" s="70">
        <v>0</v>
      </c>
      <c r="O9" s="60" t="s">
        <v>59</v>
      </c>
      <c r="P9" s="61"/>
      <c r="Q9" s="71" t="str">
        <f t="shared" ref="Q9:AB9" si="4">IFERROR(IF(AND(Q$4&lt;=$K9,Q$4+6&gt;=$I9),"■",""),"")</f>
        <v/>
      </c>
      <c r="R9" s="71" t="str">
        <f t="shared" si="4"/>
        <v/>
      </c>
      <c r="S9" s="71" t="str">
        <f t="shared" si="4"/>
        <v/>
      </c>
      <c r="T9" s="71" t="str">
        <f t="shared" si="4"/>
        <v/>
      </c>
      <c r="U9" s="71" t="str">
        <f t="shared" si="4"/>
        <v/>
      </c>
      <c r="V9" s="71" t="str">
        <f t="shared" si="4"/>
        <v/>
      </c>
      <c r="W9" s="71" t="str">
        <f t="shared" si="4"/>
        <v/>
      </c>
      <c r="X9" s="71" t="str">
        <f t="shared" si="4"/>
        <v/>
      </c>
      <c r="Y9" s="71" t="str">
        <f t="shared" si="4"/>
        <v/>
      </c>
      <c r="Z9" s="71" t="str">
        <f t="shared" si="4"/>
        <v/>
      </c>
      <c r="AA9" s="71" t="str">
        <f t="shared" si="4"/>
        <v/>
      </c>
      <c r="AB9" s="71" t="str">
        <f t="shared" si="4"/>
        <v/>
      </c>
      <c r="AC9" s="50"/>
      <c r="AD9" s="50"/>
      <c r="AE9" s="50"/>
    </row>
    <row r="10" ht="21" customHeight="1" spans="1:31">
      <c r="A10" s="59" t="s">
        <v>60</v>
      </c>
      <c r="B10" s="72"/>
      <c r="C10" s="60" t="s">
        <v>61</v>
      </c>
      <c r="D10" s="60" t="s">
        <v>62</v>
      </c>
      <c r="E10" s="60" t="s">
        <v>42</v>
      </c>
      <c r="F10" s="60" t="s">
        <v>43</v>
      </c>
      <c r="G10" s="60" t="s">
        <v>3</v>
      </c>
      <c r="H10" s="60" t="s">
        <v>63</v>
      </c>
      <c r="I10" s="69"/>
      <c r="J10" s="69"/>
      <c r="K10" s="69"/>
      <c r="L10" s="60" t="s">
        <v>38</v>
      </c>
      <c r="M10" s="60" t="s">
        <v>45</v>
      </c>
      <c r="N10" s="70">
        <v>0</v>
      </c>
      <c r="O10" s="60" t="s">
        <v>64</v>
      </c>
      <c r="P10" s="61"/>
      <c r="Q10" s="71" t="str">
        <f t="shared" ref="Q10:AB10" si="5">IFERROR(IF(AND(Q$4&lt;=$K10,Q$4+6&gt;=$I10),"■",""),"")</f>
        <v/>
      </c>
      <c r="R10" s="71" t="str">
        <f t="shared" si="5"/>
        <v/>
      </c>
      <c r="S10" s="71" t="str">
        <f t="shared" si="5"/>
        <v/>
      </c>
      <c r="T10" s="71" t="str">
        <f t="shared" si="5"/>
        <v/>
      </c>
      <c r="U10" s="71" t="str">
        <f t="shared" si="5"/>
        <v/>
      </c>
      <c r="V10" s="71" t="str">
        <f t="shared" si="5"/>
        <v/>
      </c>
      <c r="W10" s="71" t="str">
        <f t="shared" si="5"/>
        <v/>
      </c>
      <c r="X10" s="71" t="str">
        <f t="shared" si="5"/>
        <v/>
      </c>
      <c r="Y10" s="71" t="str">
        <f t="shared" si="5"/>
        <v/>
      </c>
      <c r="Z10" s="71" t="str">
        <f t="shared" si="5"/>
        <v/>
      </c>
      <c r="AA10" s="71" t="str">
        <f t="shared" si="5"/>
        <v/>
      </c>
      <c r="AB10" s="71" t="str">
        <f t="shared" si="5"/>
        <v/>
      </c>
      <c r="AC10" s="50"/>
      <c r="AD10" s="50"/>
      <c r="AE10" s="50"/>
    </row>
    <row r="11" ht="21" customHeight="1" spans="1:31">
      <c r="A11" s="59" t="s">
        <v>65</v>
      </c>
      <c r="B11" s="72"/>
      <c r="C11" s="60" t="s">
        <v>66</v>
      </c>
      <c r="D11" s="60" t="s">
        <v>67</v>
      </c>
      <c r="E11" s="60" t="s">
        <v>42</v>
      </c>
      <c r="F11" s="60" t="s">
        <v>43</v>
      </c>
      <c r="G11" s="60" t="s">
        <v>3</v>
      </c>
      <c r="H11" s="60" t="s">
        <v>68</v>
      </c>
      <c r="I11" s="69"/>
      <c r="J11" s="69"/>
      <c r="K11" s="69"/>
      <c r="L11" s="60" t="s">
        <v>47</v>
      </c>
      <c r="M11" s="60" t="s">
        <v>45</v>
      </c>
      <c r="N11" s="70">
        <v>0</v>
      </c>
      <c r="O11" s="60" t="s">
        <v>69</v>
      </c>
      <c r="P11" s="61"/>
      <c r="Q11" s="71" t="str">
        <f t="shared" ref="Q11:AB11" si="6">IFERROR(IF(AND(Q$4&lt;=$K11,Q$4+6&gt;=$I11),"■",""),"")</f>
        <v/>
      </c>
      <c r="R11" s="71" t="str">
        <f t="shared" si="6"/>
        <v/>
      </c>
      <c r="S11" s="71" t="str">
        <f t="shared" si="6"/>
        <v/>
      </c>
      <c r="T11" s="71" t="str">
        <f t="shared" si="6"/>
        <v/>
      </c>
      <c r="U11" s="71" t="str">
        <f t="shared" si="6"/>
        <v/>
      </c>
      <c r="V11" s="71" t="str">
        <f t="shared" si="6"/>
        <v/>
      </c>
      <c r="W11" s="71" t="str">
        <f t="shared" si="6"/>
        <v/>
      </c>
      <c r="X11" s="71" t="str">
        <f t="shared" si="6"/>
        <v/>
      </c>
      <c r="Y11" s="71" t="str">
        <f t="shared" si="6"/>
        <v/>
      </c>
      <c r="Z11" s="71" t="str">
        <f t="shared" si="6"/>
        <v/>
      </c>
      <c r="AA11" s="71" t="str">
        <f t="shared" si="6"/>
        <v/>
      </c>
      <c r="AB11" s="71" t="str">
        <f t="shared" si="6"/>
        <v/>
      </c>
      <c r="AC11" s="50"/>
      <c r="AD11" s="50"/>
      <c r="AE11" s="50"/>
    </row>
    <row r="12" ht="21" customHeight="1" spans="1:31">
      <c r="A12" s="59" t="s">
        <v>70</v>
      </c>
      <c r="B12" s="72"/>
      <c r="C12" s="72"/>
      <c r="D12" s="60" t="s">
        <v>71</v>
      </c>
      <c r="E12" s="60" t="s">
        <v>72</v>
      </c>
      <c r="F12" s="60" t="s">
        <v>43</v>
      </c>
      <c r="G12" s="60" t="s">
        <v>3</v>
      </c>
      <c r="H12" s="60" t="s">
        <v>73</v>
      </c>
      <c r="I12" s="69"/>
      <c r="J12" s="69"/>
      <c r="K12" s="69"/>
      <c r="L12" s="60" t="s">
        <v>74</v>
      </c>
      <c r="M12" s="60" t="s">
        <v>45</v>
      </c>
      <c r="N12" s="70">
        <v>0</v>
      </c>
      <c r="O12" s="60" t="s">
        <v>75</v>
      </c>
      <c r="P12" s="61"/>
      <c r="Q12" s="71" t="str">
        <f t="shared" ref="Q12:AB12" si="7">IFERROR(IF(AND(Q$4&lt;=$K12,Q$4+6&gt;=$I12),"■",""),"")</f>
        <v/>
      </c>
      <c r="R12" s="71" t="str">
        <f t="shared" si="7"/>
        <v/>
      </c>
      <c r="S12" s="71" t="str">
        <f t="shared" si="7"/>
        <v/>
      </c>
      <c r="T12" s="71" t="str">
        <f t="shared" si="7"/>
        <v/>
      </c>
      <c r="U12" s="71" t="str">
        <f t="shared" si="7"/>
        <v/>
      </c>
      <c r="V12" s="71" t="str">
        <f t="shared" si="7"/>
        <v/>
      </c>
      <c r="W12" s="71" t="str">
        <f t="shared" si="7"/>
        <v/>
      </c>
      <c r="X12" s="71" t="str">
        <f t="shared" si="7"/>
        <v/>
      </c>
      <c r="Y12" s="71" t="str">
        <f t="shared" si="7"/>
        <v/>
      </c>
      <c r="Z12" s="71" t="str">
        <f t="shared" si="7"/>
        <v/>
      </c>
      <c r="AA12" s="71" t="str">
        <f t="shared" si="7"/>
        <v/>
      </c>
      <c r="AB12" s="71" t="str">
        <f t="shared" si="7"/>
        <v/>
      </c>
      <c r="AC12" s="50"/>
      <c r="AD12" s="50"/>
      <c r="AE12" s="50"/>
    </row>
    <row r="13" ht="21" customHeight="1" spans="1:31">
      <c r="A13" s="59">
        <v>1.8</v>
      </c>
      <c r="B13" s="72"/>
      <c r="C13" s="72"/>
      <c r="D13" s="60" t="s">
        <v>76</v>
      </c>
      <c r="E13" s="60" t="s">
        <v>72</v>
      </c>
      <c r="F13" s="60" t="s">
        <v>43</v>
      </c>
      <c r="G13" s="60" t="s">
        <v>3</v>
      </c>
      <c r="H13" s="60" t="s">
        <v>77</v>
      </c>
      <c r="I13" s="69"/>
      <c r="J13" s="69"/>
      <c r="K13" s="69"/>
      <c r="L13" s="76">
        <v>1.7</v>
      </c>
      <c r="M13" s="60" t="s">
        <v>45</v>
      </c>
      <c r="N13" s="70">
        <v>0</v>
      </c>
      <c r="O13" s="60" t="s">
        <v>78</v>
      </c>
      <c r="P13" s="61"/>
      <c r="Q13" s="71" t="str">
        <f t="shared" ref="Q13:AB13" si="8">IFERROR(IF(AND(Q$4&lt;=$K13,Q$4+6&gt;=$I13),"■",""),"")</f>
        <v/>
      </c>
      <c r="R13" s="71" t="str">
        <f t="shared" si="8"/>
        <v/>
      </c>
      <c r="S13" s="71" t="str">
        <f t="shared" si="8"/>
        <v/>
      </c>
      <c r="T13" s="71" t="str">
        <f t="shared" si="8"/>
        <v/>
      </c>
      <c r="U13" s="71" t="str">
        <f t="shared" si="8"/>
        <v/>
      </c>
      <c r="V13" s="71" t="str">
        <f t="shared" si="8"/>
        <v/>
      </c>
      <c r="W13" s="71" t="str">
        <f t="shared" si="8"/>
        <v/>
      </c>
      <c r="X13" s="71" t="str">
        <f t="shared" si="8"/>
        <v/>
      </c>
      <c r="Y13" s="71" t="str">
        <f t="shared" si="8"/>
        <v/>
      </c>
      <c r="Z13" s="71" t="str">
        <f t="shared" si="8"/>
        <v/>
      </c>
      <c r="AA13" s="71" t="str">
        <f t="shared" si="8"/>
        <v/>
      </c>
      <c r="AB13" s="71" t="str">
        <f t="shared" si="8"/>
        <v/>
      </c>
      <c r="AC13" s="50"/>
      <c r="AD13" s="50"/>
      <c r="AE13" s="50"/>
    </row>
    <row r="14" ht="21" customHeight="1" spans="1:31">
      <c r="A14" s="59" t="s">
        <v>79</v>
      </c>
      <c r="B14" s="67" t="s">
        <v>80</v>
      </c>
      <c r="C14" s="60" t="s">
        <v>81</v>
      </c>
      <c r="D14" s="60" t="s">
        <v>82</v>
      </c>
      <c r="E14" s="60" t="s">
        <v>42</v>
      </c>
      <c r="F14" s="60" t="s">
        <v>43</v>
      </c>
      <c r="G14" s="60" t="s">
        <v>83</v>
      </c>
      <c r="H14" s="60" t="s">
        <v>53</v>
      </c>
      <c r="I14" s="69"/>
      <c r="J14" s="69"/>
      <c r="K14" s="69"/>
      <c r="L14" s="76">
        <v>1.8</v>
      </c>
      <c r="M14" s="60" t="s">
        <v>45</v>
      </c>
      <c r="N14" s="70">
        <v>0</v>
      </c>
      <c r="O14" s="60" t="s">
        <v>84</v>
      </c>
      <c r="P14" s="61"/>
      <c r="Q14" s="71" t="str">
        <f t="shared" ref="Q14:AB14" si="9">IFERROR(IF(AND(Q$4&lt;=$K14,Q$4+6&gt;=$I14),"■",""),"")</f>
        <v/>
      </c>
      <c r="R14" s="71" t="str">
        <f t="shared" si="9"/>
        <v/>
      </c>
      <c r="S14" s="71" t="str">
        <f t="shared" si="9"/>
        <v/>
      </c>
      <c r="T14" s="71" t="str">
        <f t="shared" si="9"/>
        <v/>
      </c>
      <c r="U14" s="71" t="str">
        <f t="shared" si="9"/>
        <v/>
      </c>
      <c r="V14" s="71" t="str">
        <f t="shared" si="9"/>
        <v/>
      </c>
      <c r="W14" s="71" t="str">
        <f t="shared" si="9"/>
        <v/>
      </c>
      <c r="X14" s="71" t="str">
        <f t="shared" si="9"/>
        <v/>
      </c>
      <c r="Y14" s="71" t="str">
        <f t="shared" si="9"/>
        <v/>
      </c>
      <c r="Z14" s="71" t="str">
        <f t="shared" si="9"/>
        <v/>
      </c>
      <c r="AA14" s="71" t="str">
        <f t="shared" si="9"/>
        <v/>
      </c>
      <c r="AB14" s="71" t="str">
        <f t="shared" si="9"/>
        <v/>
      </c>
      <c r="AC14" s="50"/>
      <c r="AD14" s="50"/>
      <c r="AE14" s="50"/>
    </row>
    <row r="15" ht="21" customHeight="1" spans="1:31">
      <c r="A15" s="59" t="s">
        <v>85</v>
      </c>
      <c r="B15" s="72"/>
      <c r="C15" s="72"/>
      <c r="D15" s="60" t="s">
        <v>86</v>
      </c>
      <c r="E15" s="60" t="s">
        <v>42</v>
      </c>
      <c r="F15" s="60" t="s">
        <v>43</v>
      </c>
      <c r="G15" s="60" t="s">
        <v>83</v>
      </c>
      <c r="H15" s="60" t="s">
        <v>87</v>
      </c>
      <c r="I15" s="69"/>
      <c r="J15" s="69"/>
      <c r="K15" s="69"/>
      <c r="L15" s="60" t="s">
        <v>79</v>
      </c>
      <c r="M15" s="60" t="s">
        <v>45</v>
      </c>
      <c r="N15" s="70">
        <v>0</v>
      </c>
      <c r="O15" s="60" t="s">
        <v>88</v>
      </c>
      <c r="P15" s="61"/>
      <c r="Q15" s="71" t="str">
        <f t="shared" ref="Q15:AB15" si="10">IFERROR(IF(AND(Q$4&lt;=$K15,Q$4+6&gt;=$I15),"■",""),"")</f>
        <v/>
      </c>
      <c r="R15" s="71" t="str">
        <f t="shared" si="10"/>
        <v/>
      </c>
      <c r="S15" s="71" t="str">
        <f t="shared" si="10"/>
        <v/>
      </c>
      <c r="T15" s="71" t="str">
        <f t="shared" si="10"/>
        <v/>
      </c>
      <c r="U15" s="71" t="str">
        <f t="shared" si="10"/>
        <v/>
      </c>
      <c r="V15" s="71" t="str">
        <f t="shared" si="10"/>
        <v/>
      </c>
      <c r="W15" s="71" t="str">
        <f t="shared" si="10"/>
        <v/>
      </c>
      <c r="X15" s="71" t="str">
        <f t="shared" si="10"/>
        <v/>
      </c>
      <c r="Y15" s="71" t="str">
        <f t="shared" si="10"/>
        <v/>
      </c>
      <c r="Z15" s="71" t="str">
        <f t="shared" si="10"/>
        <v/>
      </c>
      <c r="AA15" s="71" t="str">
        <f t="shared" si="10"/>
        <v/>
      </c>
      <c r="AB15" s="71" t="str">
        <f t="shared" si="10"/>
        <v/>
      </c>
      <c r="AC15" s="50"/>
      <c r="AD15" s="50"/>
      <c r="AE15" s="50"/>
    </row>
    <row r="16" ht="21" customHeight="1" spans="1:31">
      <c r="A16" s="59" t="s">
        <v>89</v>
      </c>
      <c r="B16" s="72"/>
      <c r="C16" s="72"/>
      <c r="D16" s="60" t="s">
        <v>90</v>
      </c>
      <c r="E16" s="60" t="s">
        <v>42</v>
      </c>
      <c r="F16" s="60" t="s">
        <v>43</v>
      </c>
      <c r="G16" s="60" t="s">
        <v>53</v>
      </c>
      <c r="H16" s="60" t="s">
        <v>91</v>
      </c>
      <c r="I16" s="69"/>
      <c r="J16" s="69"/>
      <c r="K16" s="69"/>
      <c r="L16" s="60" t="s">
        <v>79</v>
      </c>
      <c r="M16" s="60" t="s">
        <v>45</v>
      </c>
      <c r="N16" s="70">
        <v>0</v>
      </c>
      <c r="O16" s="60" t="s">
        <v>92</v>
      </c>
      <c r="P16" s="61"/>
      <c r="Q16" s="71" t="str">
        <f t="shared" ref="Q16:AB16" si="11">IFERROR(IF(AND(Q$4&lt;=$K16,Q$4+6&gt;=$I16),"■",""),"")</f>
        <v/>
      </c>
      <c r="R16" s="71" t="str">
        <f t="shared" si="11"/>
        <v/>
      </c>
      <c r="S16" s="71" t="str">
        <f t="shared" si="11"/>
        <v/>
      </c>
      <c r="T16" s="71" t="str">
        <f t="shared" si="11"/>
        <v/>
      </c>
      <c r="U16" s="71" t="str">
        <f t="shared" si="11"/>
        <v/>
      </c>
      <c r="V16" s="71" t="str">
        <f t="shared" si="11"/>
        <v/>
      </c>
      <c r="W16" s="71" t="str">
        <f t="shared" si="11"/>
        <v/>
      </c>
      <c r="X16" s="71" t="str">
        <f t="shared" si="11"/>
        <v/>
      </c>
      <c r="Y16" s="71" t="str">
        <f t="shared" si="11"/>
        <v/>
      </c>
      <c r="Z16" s="71" t="str">
        <f t="shared" si="11"/>
        <v/>
      </c>
      <c r="AA16" s="71" t="str">
        <f t="shared" si="11"/>
        <v/>
      </c>
      <c r="AB16" s="71" t="str">
        <f t="shared" si="11"/>
        <v/>
      </c>
      <c r="AC16" s="50"/>
      <c r="AD16" s="50"/>
      <c r="AE16" s="50"/>
    </row>
    <row r="17" ht="21" customHeight="1" spans="1:31">
      <c r="A17" s="59" t="s">
        <v>93</v>
      </c>
      <c r="B17" s="72"/>
      <c r="C17" s="60" t="s">
        <v>94</v>
      </c>
      <c r="D17" s="60" t="s">
        <v>95</v>
      </c>
      <c r="E17" s="60" t="s">
        <v>42</v>
      </c>
      <c r="F17" s="60" t="s">
        <v>43</v>
      </c>
      <c r="G17" s="60" t="s">
        <v>53</v>
      </c>
      <c r="H17" s="60" t="s">
        <v>96</v>
      </c>
      <c r="I17" s="69"/>
      <c r="J17" s="69"/>
      <c r="K17" s="69"/>
      <c r="L17" s="76">
        <v>1.8</v>
      </c>
      <c r="M17" s="60" t="s">
        <v>45</v>
      </c>
      <c r="N17" s="70">
        <v>0</v>
      </c>
      <c r="O17" s="60" t="s">
        <v>97</v>
      </c>
      <c r="P17" s="61"/>
      <c r="Q17" s="71" t="str">
        <f t="shared" ref="Q17:AB17" si="12">IFERROR(IF(AND(Q$4&lt;=$K17,Q$4+6&gt;=$I17),"■",""),"")</f>
        <v/>
      </c>
      <c r="R17" s="71" t="str">
        <f t="shared" si="12"/>
        <v/>
      </c>
      <c r="S17" s="71" t="str">
        <f t="shared" si="12"/>
        <v/>
      </c>
      <c r="T17" s="71" t="str">
        <f t="shared" si="12"/>
        <v/>
      </c>
      <c r="U17" s="71" t="str">
        <f t="shared" si="12"/>
        <v/>
      </c>
      <c r="V17" s="71" t="str">
        <f t="shared" si="12"/>
        <v/>
      </c>
      <c r="W17" s="71" t="str">
        <f t="shared" si="12"/>
        <v/>
      </c>
      <c r="X17" s="71" t="str">
        <f t="shared" si="12"/>
        <v/>
      </c>
      <c r="Y17" s="71" t="str">
        <f t="shared" si="12"/>
        <v/>
      </c>
      <c r="Z17" s="71" t="str">
        <f t="shared" si="12"/>
        <v/>
      </c>
      <c r="AA17" s="71" t="str">
        <f t="shared" si="12"/>
        <v/>
      </c>
      <c r="AB17" s="71" t="str">
        <f t="shared" si="12"/>
        <v/>
      </c>
      <c r="AC17" s="50"/>
      <c r="AD17" s="50"/>
      <c r="AE17" s="50"/>
    </row>
    <row r="18" ht="21" customHeight="1" spans="1:31">
      <c r="A18" s="59" t="s">
        <v>98</v>
      </c>
      <c r="B18" s="72"/>
      <c r="C18" s="72"/>
      <c r="D18" s="60" t="s">
        <v>99</v>
      </c>
      <c r="E18" s="60" t="s">
        <v>42</v>
      </c>
      <c r="F18" s="60" t="s">
        <v>43</v>
      </c>
      <c r="G18" s="60" t="s">
        <v>53</v>
      </c>
      <c r="H18" s="60" t="s">
        <v>96</v>
      </c>
      <c r="I18" s="69"/>
      <c r="J18" s="69"/>
      <c r="K18" s="69"/>
      <c r="L18" s="76">
        <v>1.8</v>
      </c>
      <c r="M18" s="60" t="s">
        <v>45</v>
      </c>
      <c r="N18" s="70">
        <v>0</v>
      </c>
      <c r="O18" s="60" t="s">
        <v>100</v>
      </c>
      <c r="P18" s="61"/>
      <c r="Q18" s="71" t="str">
        <f t="shared" ref="Q18:AB18" si="13">IFERROR(IF(AND(Q$4&lt;=$K18,Q$4+6&gt;=$I18),"■",""),"")</f>
        <v/>
      </c>
      <c r="R18" s="71" t="str">
        <f t="shared" si="13"/>
        <v/>
      </c>
      <c r="S18" s="71" t="str">
        <f t="shared" si="13"/>
        <v/>
      </c>
      <c r="T18" s="71" t="str">
        <f t="shared" si="13"/>
        <v/>
      </c>
      <c r="U18" s="71" t="str">
        <f t="shared" si="13"/>
        <v/>
      </c>
      <c r="V18" s="71" t="str">
        <f t="shared" si="13"/>
        <v/>
      </c>
      <c r="W18" s="71" t="str">
        <f t="shared" si="13"/>
        <v/>
      </c>
      <c r="X18" s="71" t="str">
        <f t="shared" si="13"/>
        <v/>
      </c>
      <c r="Y18" s="71" t="str">
        <f t="shared" si="13"/>
        <v/>
      </c>
      <c r="Z18" s="71" t="str">
        <f t="shared" si="13"/>
        <v/>
      </c>
      <c r="AA18" s="71" t="str">
        <f t="shared" si="13"/>
        <v/>
      </c>
      <c r="AB18" s="71" t="str">
        <f t="shared" si="13"/>
        <v/>
      </c>
      <c r="AC18" s="50"/>
      <c r="AD18" s="50"/>
      <c r="AE18" s="50"/>
    </row>
    <row r="19" ht="21" customHeight="1" spans="1:31">
      <c r="A19" s="59" t="s">
        <v>101</v>
      </c>
      <c r="B19" s="72"/>
      <c r="C19" s="72"/>
      <c r="D19" s="60" t="s">
        <v>102</v>
      </c>
      <c r="E19" s="60" t="s">
        <v>42</v>
      </c>
      <c r="F19" s="60" t="s">
        <v>43</v>
      </c>
      <c r="G19" s="60" t="s">
        <v>53</v>
      </c>
      <c r="H19" s="60" t="s">
        <v>96</v>
      </c>
      <c r="I19" s="69"/>
      <c r="J19" s="69"/>
      <c r="K19" s="69"/>
      <c r="L19" s="60" t="s">
        <v>103</v>
      </c>
      <c r="M19" s="60" t="s">
        <v>45</v>
      </c>
      <c r="N19" s="70">
        <v>0</v>
      </c>
      <c r="O19" s="60" t="s">
        <v>104</v>
      </c>
      <c r="P19" s="61"/>
      <c r="Q19" s="71" t="str">
        <f t="shared" ref="Q19:AB19" si="14">IFERROR(IF(AND(Q$4&lt;=$K19,Q$4+6&gt;=$I19),"■",""),"")</f>
        <v/>
      </c>
      <c r="R19" s="71" t="str">
        <f t="shared" si="14"/>
        <v/>
      </c>
      <c r="S19" s="71" t="str">
        <f t="shared" si="14"/>
        <v/>
      </c>
      <c r="T19" s="71" t="str">
        <f t="shared" si="14"/>
        <v/>
      </c>
      <c r="U19" s="71" t="str">
        <f t="shared" si="14"/>
        <v/>
      </c>
      <c r="V19" s="71" t="str">
        <f t="shared" si="14"/>
        <v/>
      </c>
      <c r="W19" s="71" t="str">
        <f t="shared" si="14"/>
        <v/>
      </c>
      <c r="X19" s="71" t="str">
        <f t="shared" si="14"/>
        <v/>
      </c>
      <c r="Y19" s="71" t="str">
        <f t="shared" si="14"/>
        <v/>
      </c>
      <c r="Z19" s="71" t="str">
        <f t="shared" si="14"/>
        <v/>
      </c>
      <c r="AA19" s="71" t="str">
        <f t="shared" si="14"/>
        <v/>
      </c>
      <c r="AB19" s="71" t="str">
        <f t="shared" si="14"/>
        <v/>
      </c>
      <c r="AC19" s="50"/>
      <c r="AD19" s="50"/>
      <c r="AE19" s="50"/>
    </row>
    <row r="20" ht="21" customHeight="1" spans="1:31">
      <c r="A20" s="59" t="s">
        <v>105</v>
      </c>
      <c r="B20" s="72"/>
      <c r="C20" s="60" t="s">
        <v>106</v>
      </c>
      <c r="D20" s="60" t="s">
        <v>107</v>
      </c>
      <c r="E20" s="60" t="s">
        <v>42</v>
      </c>
      <c r="F20" s="60" t="s">
        <v>43</v>
      </c>
      <c r="G20" s="60" t="s">
        <v>53</v>
      </c>
      <c r="H20" s="60" t="s">
        <v>108</v>
      </c>
      <c r="I20" s="69"/>
      <c r="J20" s="69"/>
      <c r="K20" s="69"/>
      <c r="L20" s="76">
        <v>1.8</v>
      </c>
      <c r="M20" s="60" t="s">
        <v>45</v>
      </c>
      <c r="N20" s="70">
        <v>0</v>
      </c>
      <c r="O20" s="60" t="s">
        <v>109</v>
      </c>
      <c r="P20" s="61"/>
      <c r="Q20" s="71" t="str">
        <f t="shared" ref="Q20:AB20" si="15">IFERROR(IF(AND(Q$4&lt;=$K20,Q$4+6&gt;=$I20),"■",""),"")</f>
        <v/>
      </c>
      <c r="R20" s="71" t="str">
        <f t="shared" si="15"/>
        <v/>
      </c>
      <c r="S20" s="71" t="str">
        <f t="shared" si="15"/>
        <v/>
      </c>
      <c r="T20" s="71" t="str">
        <f t="shared" si="15"/>
        <v/>
      </c>
      <c r="U20" s="71" t="str">
        <f t="shared" si="15"/>
        <v/>
      </c>
      <c r="V20" s="71" t="str">
        <f t="shared" si="15"/>
        <v/>
      </c>
      <c r="W20" s="71" t="str">
        <f t="shared" si="15"/>
        <v/>
      </c>
      <c r="X20" s="71" t="str">
        <f t="shared" si="15"/>
        <v/>
      </c>
      <c r="Y20" s="71" t="str">
        <f t="shared" si="15"/>
        <v/>
      </c>
      <c r="Z20" s="71" t="str">
        <f t="shared" si="15"/>
        <v/>
      </c>
      <c r="AA20" s="71" t="str">
        <f t="shared" si="15"/>
        <v/>
      </c>
      <c r="AB20" s="71" t="str">
        <f t="shared" si="15"/>
        <v/>
      </c>
      <c r="AC20" s="50"/>
      <c r="AD20" s="50"/>
      <c r="AE20" s="50"/>
    </row>
    <row r="21" ht="21" customHeight="1" spans="1:31">
      <c r="A21" s="59" t="s">
        <v>110</v>
      </c>
      <c r="B21" s="72"/>
      <c r="C21" s="72"/>
      <c r="D21" s="60" t="s">
        <v>111</v>
      </c>
      <c r="E21" s="60" t="s">
        <v>42</v>
      </c>
      <c r="F21" s="60" t="s">
        <v>43</v>
      </c>
      <c r="G21" s="60" t="s">
        <v>53</v>
      </c>
      <c r="H21" s="60" t="s">
        <v>3</v>
      </c>
      <c r="I21" s="69"/>
      <c r="J21" s="69"/>
      <c r="K21" s="69"/>
      <c r="L21" s="60" t="s">
        <v>112</v>
      </c>
      <c r="M21" s="60" t="s">
        <v>45</v>
      </c>
      <c r="N21" s="70">
        <v>0</v>
      </c>
      <c r="O21" s="60" t="s">
        <v>113</v>
      </c>
      <c r="P21" s="61"/>
      <c r="Q21" s="71" t="str">
        <f t="shared" ref="Q21:AB21" si="16">IFERROR(IF(AND(Q$4&lt;=$K21,Q$4+6&gt;=$I21),"■",""),"")</f>
        <v/>
      </c>
      <c r="R21" s="71" t="str">
        <f t="shared" si="16"/>
        <v/>
      </c>
      <c r="S21" s="71" t="str">
        <f t="shared" si="16"/>
        <v/>
      </c>
      <c r="T21" s="71" t="str">
        <f t="shared" si="16"/>
        <v/>
      </c>
      <c r="U21" s="71" t="str">
        <f t="shared" si="16"/>
        <v/>
      </c>
      <c r="V21" s="71" t="str">
        <f t="shared" si="16"/>
        <v/>
      </c>
      <c r="W21" s="71" t="str">
        <f t="shared" si="16"/>
        <v/>
      </c>
      <c r="X21" s="71" t="str">
        <f t="shared" si="16"/>
        <v/>
      </c>
      <c r="Y21" s="71" t="str">
        <f t="shared" si="16"/>
        <v/>
      </c>
      <c r="Z21" s="71" t="str">
        <f t="shared" si="16"/>
        <v/>
      </c>
      <c r="AA21" s="71" t="str">
        <f t="shared" si="16"/>
        <v/>
      </c>
      <c r="AB21" s="71" t="str">
        <f t="shared" si="16"/>
        <v/>
      </c>
      <c r="AC21" s="50"/>
      <c r="AD21" s="50"/>
      <c r="AE21" s="50"/>
    </row>
    <row r="22" ht="21" customHeight="1" spans="1:31">
      <c r="A22" s="59" t="s">
        <v>114</v>
      </c>
      <c r="B22" s="72"/>
      <c r="C22" s="72"/>
      <c r="D22" s="60" t="s">
        <v>115</v>
      </c>
      <c r="E22" s="60" t="s">
        <v>42</v>
      </c>
      <c r="F22" s="60" t="s">
        <v>43</v>
      </c>
      <c r="G22" s="60" t="s">
        <v>53</v>
      </c>
      <c r="H22" s="60" t="s">
        <v>116</v>
      </c>
      <c r="I22" s="69"/>
      <c r="J22" s="69"/>
      <c r="K22" s="69"/>
      <c r="L22" s="60" t="s">
        <v>117</v>
      </c>
      <c r="M22" s="60" t="s">
        <v>45</v>
      </c>
      <c r="N22" s="70">
        <v>0</v>
      </c>
      <c r="O22" s="60" t="s">
        <v>118</v>
      </c>
      <c r="P22" s="61"/>
      <c r="Q22" s="71" t="str">
        <f t="shared" ref="Q22:AB22" si="17">IFERROR(IF(AND(Q$4&lt;=$K22,Q$4+6&gt;=$I22),"■",""),"")</f>
        <v/>
      </c>
      <c r="R22" s="71" t="str">
        <f t="shared" si="17"/>
        <v/>
      </c>
      <c r="S22" s="71" t="str">
        <f t="shared" si="17"/>
        <v/>
      </c>
      <c r="T22" s="71" t="str">
        <f t="shared" si="17"/>
        <v/>
      </c>
      <c r="U22" s="71" t="str">
        <f t="shared" si="17"/>
        <v/>
      </c>
      <c r="V22" s="71" t="str">
        <f t="shared" si="17"/>
        <v/>
      </c>
      <c r="W22" s="71" t="str">
        <f t="shared" si="17"/>
        <v/>
      </c>
      <c r="X22" s="71" t="str">
        <f t="shared" si="17"/>
        <v/>
      </c>
      <c r="Y22" s="71" t="str">
        <f t="shared" si="17"/>
        <v/>
      </c>
      <c r="Z22" s="71" t="str">
        <f t="shared" si="17"/>
        <v/>
      </c>
      <c r="AA22" s="71" t="str">
        <f t="shared" si="17"/>
        <v/>
      </c>
      <c r="AB22" s="71" t="str">
        <f t="shared" si="17"/>
        <v/>
      </c>
      <c r="AC22" s="50"/>
      <c r="AD22" s="50"/>
      <c r="AE22" s="50"/>
    </row>
    <row r="23" ht="21" customHeight="1" spans="1:31">
      <c r="A23" s="59" t="s">
        <v>119</v>
      </c>
      <c r="B23" s="72"/>
      <c r="C23" s="60" t="s">
        <v>120</v>
      </c>
      <c r="D23" s="60" t="s">
        <v>121</v>
      </c>
      <c r="E23" s="60" t="s">
        <v>42</v>
      </c>
      <c r="F23" s="60" t="s">
        <v>43</v>
      </c>
      <c r="G23" s="60" t="s">
        <v>53</v>
      </c>
      <c r="H23" s="60" t="s">
        <v>116</v>
      </c>
      <c r="I23" s="69"/>
      <c r="J23" s="69"/>
      <c r="K23" s="69"/>
      <c r="L23" s="76">
        <v>1.8</v>
      </c>
      <c r="M23" s="60" t="s">
        <v>45</v>
      </c>
      <c r="N23" s="70">
        <v>0</v>
      </c>
      <c r="O23" s="60" t="s">
        <v>122</v>
      </c>
      <c r="P23" s="61"/>
      <c r="Q23" s="71" t="str">
        <f t="shared" ref="Q23:AB23" si="18">IFERROR(IF(AND(Q$4&lt;=$K23,Q$4+6&gt;=$I23),"■",""),"")</f>
        <v/>
      </c>
      <c r="R23" s="71" t="str">
        <f t="shared" si="18"/>
        <v/>
      </c>
      <c r="S23" s="71" t="str">
        <f t="shared" si="18"/>
        <v/>
      </c>
      <c r="T23" s="71" t="str">
        <f t="shared" si="18"/>
        <v/>
      </c>
      <c r="U23" s="71" t="str">
        <f t="shared" si="18"/>
        <v/>
      </c>
      <c r="V23" s="71" t="str">
        <f t="shared" si="18"/>
        <v/>
      </c>
      <c r="W23" s="71" t="str">
        <f t="shared" si="18"/>
        <v/>
      </c>
      <c r="X23" s="71" t="str">
        <f t="shared" si="18"/>
        <v/>
      </c>
      <c r="Y23" s="71" t="str">
        <f t="shared" si="18"/>
        <v/>
      </c>
      <c r="Z23" s="71" t="str">
        <f t="shared" si="18"/>
        <v/>
      </c>
      <c r="AA23" s="71" t="str">
        <f t="shared" si="18"/>
        <v/>
      </c>
      <c r="AB23" s="71" t="str">
        <f t="shared" si="18"/>
        <v/>
      </c>
      <c r="AC23" s="50"/>
      <c r="AD23" s="50"/>
      <c r="AE23" s="50"/>
    </row>
    <row r="24" ht="21" customHeight="1" spans="1:31">
      <c r="A24" s="59" t="s">
        <v>123</v>
      </c>
      <c r="B24" s="72"/>
      <c r="C24" s="72"/>
      <c r="D24" s="60" t="s">
        <v>124</v>
      </c>
      <c r="E24" s="60" t="s">
        <v>42</v>
      </c>
      <c r="F24" s="60" t="s">
        <v>43</v>
      </c>
      <c r="G24" s="60" t="s">
        <v>53</v>
      </c>
      <c r="H24" s="60" t="s">
        <v>125</v>
      </c>
      <c r="I24" s="69"/>
      <c r="J24" s="69"/>
      <c r="K24" s="69"/>
      <c r="L24" s="60" t="s">
        <v>126</v>
      </c>
      <c r="M24" s="60" t="s">
        <v>45</v>
      </c>
      <c r="N24" s="70">
        <v>0</v>
      </c>
      <c r="O24" s="60" t="s">
        <v>127</v>
      </c>
      <c r="P24" s="61"/>
      <c r="Q24" s="71" t="str">
        <f t="shared" ref="Q24:AB24" si="19">IFERROR(IF(AND(Q$4&lt;=$K24,Q$4+6&gt;=$I24),"■",""),"")</f>
        <v/>
      </c>
      <c r="R24" s="71" t="str">
        <f t="shared" si="19"/>
        <v/>
      </c>
      <c r="S24" s="71" t="str">
        <f t="shared" si="19"/>
        <v/>
      </c>
      <c r="T24" s="71" t="str">
        <f t="shared" si="19"/>
        <v/>
      </c>
      <c r="U24" s="71" t="str">
        <f t="shared" si="19"/>
        <v/>
      </c>
      <c r="V24" s="71" t="str">
        <f t="shared" si="19"/>
        <v/>
      </c>
      <c r="W24" s="71" t="str">
        <f t="shared" si="19"/>
        <v/>
      </c>
      <c r="X24" s="71" t="str">
        <f t="shared" si="19"/>
        <v/>
      </c>
      <c r="Y24" s="71" t="str">
        <f t="shared" si="19"/>
        <v/>
      </c>
      <c r="Z24" s="71" t="str">
        <f t="shared" si="19"/>
        <v/>
      </c>
      <c r="AA24" s="71" t="str">
        <f t="shared" si="19"/>
        <v/>
      </c>
      <c r="AB24" s="71" t="str">
        <f t="shared" si="19"/>
        <v/>
      </c>
      <c r="AC24" s="50"/>
      <c r="AD24" s="50"/>
      <c r="AE24" s="50"/>
    </row>
    <row r="25" ht="21" customHeight="1" spans="1:31">
      <c r="A25" s="59" t="s">
        <v>128</v>
      </c>
      <c r="B25" s="72"/>
      <c r="C25" s="72"/>
      <c r="D25" s="60" t="s">
        <v>129</v>
      </c>
      <c r="E25" s="60" t="s">
        <v>42</v>
      </c>
      <c r="F25" s="60" t="s">
        <v>43</v>
      </c>
      <c r="G25" s="60" t="s">
        <v>53</v>
      </c>
      <c r="H25" s="60" t="s">
        <v>116</v>
      </c>
      <c r="I25" s="69"/>
      <c r="J25" s="69"/>
      <c r="K25" s="69"/>
      <c r="L25" s="60" t="s">
        <v>126</v>
      </c>
      <c r="M25" s="60" t="s">
        <v>45</v>
      </c>
      <c r="N25" s="70">
        <v>0</v>
      </c>
      <c r="O25" s="60" t="s">
        <v>130</v>
      </c>
      <c r="P25" s="61"/>
      <c r="Q25" s="71" t="str">
        <f t="shared" ref="Q25:AB25" si="20">IFERROR(IF(AND(Q$4&lt;=$K25,Q$4+6&gt;=$I25),"■",""),"")</f>
        <v/>
      </c>
      <c r="R25" s="71" t="str">
        <f t="shared" si="20"/>
        <v/>
      </c>
      <c r="S25" s="71" t="str">
        <f t="shared" si="20"/>
        <v/>
      </c>
      <c r="T25" s="71" t="str">
        <f t="shared" si="20"/>
        <v/>
      </c>
      <c r="U25" s="71" t="str">
        <f t="shared" si="20"/>
        <v/>
      </c>
      <c r="V25" s="71" t="str">
        <f t="shared" si="20"/>
        <v/>
      </c>
      <c r="W25" s="71" t="str">
        <f t="shared" si="20"/>
        <v/>
      </c>
      <c r="X25" s="71" t="str">
        <f t="shared" si="20"/>
        <v/>
      </c>
      <c r="Y25" s="71" t="str">
        <f t="shared" si="20"/>
        <v/>
      </c>
      <c r="Z25" s="71" t="str">
        <f t="shared" si="20"/>
        <v/>
      </c>
      <c r="AA25" s="71" t="str">
        <f t="shared" si="20"/>
        <v/>
      </c>
      <c r="AB25" s="71" t="str">
        <f t="shared" si="20"/>
        <v/>
      </c>
      <c r="AC25" s="50"/>
      <c r="AD25" s="50"/>
      <c r="AE25" s="50"/>
    </row>
    <row r="26" ht="21" customHeight="1" spans="1:31">
      <c r="A26" s="59" t="s">
        <v>131</v>
      </c>
      <c r="B26" s="72"/>
      <c r="C26" s="72"/>
      <c r="D26" s="60" t="s">
        <v>132</v>
      </c>
      <c r="E26" s="60" t="s">
        <v>42</v>
      </c>
      <c r="F26" s="60" t="s">
        <v>43</v>
      </c>
      <c r="G26" s="60" t="s">
        <v>53</v>
      </c>
      <c r="H26" s="60" t="s">
        <v>116</v>
      </c>
      <c r="I26" s="69"/>
      <c r="J26" s="69"/>
      <c r="K26" s="69"/>
      <c r="L26" s="60" t="s">
        <v>133</v>
      </c>
      <c r="M26" s="60" t="s">
        <v>45</v>
      </c>
      <c r="N26" s="70">
        <v>0</v>
      </c>
      <c r="O26" s="60" t="s">
        <v>134</v>
      </c>
      <c r="P26" s="61"/>
      <c r="Q26" s="71" t="str">
        <f t="shared" ref="Q26:AB26" si="21">IFERROR(IF(AND(Q$4&lt;=$K26,Q$4+6&gt;=$I26),"■",""),"")</f>
        <v/>
      </c>
      <c r="R26" s="71" t="str">
        <f t="shared" si="21"/>
        <v/>
      </c>
      <c r="S26" s="71" t="str">
        <f t="shared" si="21"/>
        <v/>
      </c>
      <c r="T26" s="71" t="str">
        <f t="shared" si="21"/>
        <v/>
      </c>
      <c r="U26" s="71" t="str">
        <f t="shared" si="21"/>
        <v/>
      </c>
      <c r="V26" s="71" t="str">
        <f t="shared" si="21"/>
        <v/>
      </c>
      <c r="W26" s="71" t="str">
        <f t="shared" si="21"/>
        <v/>
      </c>
      <c r="X26" s="71" t="str">
        <f t="shared" si="21"/>
        <v/>
      </c>
      <c r="Y26" s="71" t="str">
        <f t="shared" si="21"/>
        <v/>
      </c>
      <c r="Z26" s="71" t="str">
        <f t="shared" si="21"/>
        <v/>
      </c>
      <c r="AA26" s="71" t="str">
        <f t="shared" si="21"/>
        <v/>
      </c>
      <c r="AB26" s="71" t="str">
        <f t="shared" si="21"/>
        <v/>
      </c>
      <c r="AC26" s="50"/>
      <c r="AD26" s="50"/>
      <c r="AE26" s="50"/>
    </row>
    <row r="27" ht="21" customHeight="1" spans="1:31">
      <c r="A27" s="59" t="s">
        <v>135</v>
      </c>
      <c r="B27" s="72"/>
      <c r="C27" s="60" t="s">
        <v>136</v>
      </c>
      <c r="D27" s="60" t="s">
        <v>137</v>
      </c>
      <c r="E27" s="60" t="s">
        <v>42</v>
      </c>
      <c r="F27" s="60" t="s">
        <v>43</v>
      </c>
      <c r="G27" s="60" t="s">
        <v>53</v>
      </c>
      <c r="H27" s="60" t="s">
        <v>138</v>
      </c>
      <c r="I27" s="69"/>
      <c r="J27" s="69"/>
      <c r="K27" s="69"/>
      <c r="L27" s="60" t="s">
        <v>139</v>
      </c>
      <c r="M27" s="60" t="s">
        <v>45</v>
      </c>
      <c r="N27" s="70">
        <v>0</v>
      </c>
      <c r="O27" s="60" t="s">
        <v>140</v>
      </c>
      <c r="P27" s="61"/>
      <c r="Q27" s="71" t="str">
        <f t="shared" ref="Q27:AB27" si="22">IFERROR(IF(AND(Q$4&lt;=$K27,Q$4+6&gt;=$I27),"■",""),"")</f>
        <v/>
      </c>
      <c r="R27" s="71" t="str">
        <f t="shared" si="22"/>
        <v/>
      </c>
      <c r="S27" s="71" t="str">
        <f t="shared" si="22"/>
        <v/>
      </c>
      <c r="T27" s="71" t="str">
        <f t="shared" si="22"/>
        <v/>
      </c>
      <c r="U27" s="71" t="str">
        <f t="shared" si="22"/>
        <v/>
      </c>
      <c r="V27" s="71" t="str">
        <f t="shared" si="22"/>
        <v/>
      </c>
      <c r="W27" s="71" t="str">
        <f t="shared" si="22"/>
        <v/>
      </c>
      <c r="X27" s="71" t="str">
        <f t="shared" si="22"/>
        <v/>
      </c>
      <c r="Y27" s="71" t="str">
        <f t="shared" si="22"/>
        <v/>
      </c>
      <c r="Z27" s="71" t="str">
        <f t="shared" si="22"/>
        <v/>
      </c>
      <c r="AA27" s="71" t="str">
        <f t="shared" si="22"/>
        <v/>
      </c>
      <c r="AB27" s="71" t="str">
        <f t="shared" si="22"/>
        <v/>
      </c>
      <c r="AC27" s="50"/>
      <c r="AD27" s="50"/>
      <c r="AE27" s="50"/>
    </row>
    <row r="28" ht="21" customHeight="1" spans="1:31">
      <c r="A28" s="59" t="s">
        <v>141</v>
      </c>
      <c r="B28" s="72"/>
      <c r="C28" s="72"/>
      <c r="D28" s="60" t="s">
        <v>142</v>
      </c>
      <c r="E28" s="60" t="s">
        <v>42</v>
      </c>
      <c r="F28" s="60" t="s">
        <v>43</v>
      </c>
      <c r="G28" s="60" t="s">
        <v>143</v>
      </c>
      <c r="H28" s="60" t="s">
        <v>144</v>
      </c>
      <c r="I28" s="69"/>
      <c r="J28" s="69"/>
      <c r="K28" s="69"/>
      <c r="L28" s="60" t="s">
        <v>135</v>
      </c>
      <c r="M28" s="60" t="s">
        <v>45</v>
      </c>
      <c r="N28" s="70">
        <v>0</v>
      </c>
      <c r="O28" s="60" t="s">
        <v>145</v>
      </c>
      <c r="P28" s="61"/>
      <c r="Q28" s="71" t="str">
        <f t="shared" ref="Q28:AB28" si="23">IFERROR(IF(AND(Q$4&lt;=$K28,Q$4+6&gt;=$I28),"■",""),"")</f>
        <v/>
      </c>
      <c r="R28" s="71" t="str">
        <f t="shared" si="23"/>
        <v/>
      </c>
      <c r="S28" s="71" t="str">
        <f t="shared" si="23"/>
        <v/>
      </c>
      <c r="T28" s="71" t="str">
        <f t="shared" si="23"/>
        <v/>
      </c>
      <c r="U28" s="71" t="str">
        <f t="shared" si="23"/>
        <v/>
      </c>
      <c r="V28" s="71" t="str">
        <f t="shared" si="23"/>
        <v/>
      </c>
      <c r="W28" s="71" t="str">
        <f t="shared" si="23"/>
        <v/>
      </c>
      <c r="X28" s="71" t="str">
        <f t="shared" si="23"/>
        <v/>
      </c>
      <c r="Y28" s="71" t="str">
        <f t="shared" si="23"/>
        <v/>
      </c>
      <c r="Z28" s="71" t="str">
        <f t="shared" si="23"/>
        <v/>
      </c>
      <c r="AA28" s="71" t="str">
        <f t="shared" si="23"/>
        <v/>
      </c>
      <c r="AB28" s="71" t="str">
        <f t="shared" si="23"/>
        <v/>
      </c>
      <c r="AC28" s="50"/>
      <c r="AD28" s="50"/>
      <c r="AE28" s="50"/>
    </row>
    <row r="29" ht="21" customHeight="1" spans="1:31">
      <c r="A29" s="59" t="s">
        <v>146</v>
      </c>
      <c r="B29" s="72"/>
      <c r="C29" s="72"/>
      <c r="D29" s="60" t="s">
        <v>147</v>
      </c>
      <c r="E29" s="60" t="s">
        <v>42</v>
      </c>
      <c r="F29" s="60" t="s">
        <v>43</v>
      </c>
      <c r="G29" s="60" t="s">
        <v>53</v>
      </c>
      <c r="H29" s="60" t="s">
        <v>148</v>
      </c>
      <c r="I29" s="69"/>
      <c r="J29" s="69"/>
      <c r="K29" s="69"/>
      <c r="L29" s="60" t="s">
        <v>141</v>
      </c>
      <c r="M29" s="60" t="s">
        <v>45</v>
      </c>
      <c r="N29" s="70">
        <v>0</v>
      </c>
      <c r="O29" s="60" t="s">
        <v>149</v>
      </c>
      <c r="P29" s="61"/>
      <c r="Q29" s="71" t="str">
        <f t="shared" ref="Q29:AB29" si="24">IFERROR(IF(AND(Q$4&lt;=$K29,Q$4+6&gt;=$I29),"■",""),"")</f>
        <v/>
      </c>
      <c r="R29" s="71" t="str">
        <f t="shared" si="24"/>
        <v/>
      </c>
      <c r="S29" s="71" t="str">
        <f t="shared" si="24"/>
        <v/>
      </c>
      <c r="T29" s="71" t="str">
        <f t="shared" si="24"/>
        <v/>
      </c>
      <c r="U29" s="71" t="str">
        <f t="shared" si="24"/>
        <v/>
      </c>
      <c r="V29" s="71" t="str">
        <f t="shared" si="24"/>
        <v/>
      </c>
      <c r="W29" s="71" t="str">
        <f t="shared" si="24"/>
        <v/>
      </c>
      <c r="X29" s="71" t="str">
        <f t="shared" si="24"/>
        <v/>
      </c>
      <c r="Y29" s="71" t="str">
        <f t="shared" si="24"/>
        <v/>
      </c>
      <c r="Z29" s="71" t="str">
        <f t="shared" si="24"/>
        <v/>
      </c>
      <c r="AA29" s="71" t="str">
        <f t="shared" si="24"/>
        <v/>
      </c>
      <c r="AB29" s="71" t="str">
        <f t="shared" si="24"/>
        <v/>
      </c>
      <c r="AC29" s="50"/>
      <c r="AD29" s="50"/>
      <c r="AE29" s="50"/>
    </row>
    <row r="30" ht="21" customHeight="1" spans="1:31">
      <c r="A30" s="59" t="s">
        <v>150</v>
      </c>
      <c r="B30" s="72"/>
      <c r="C30" s="72"/>
      <c r="D30" s="60" t="s">
        <v>151</v>
      </c>
      <c r="E30" s="60" t="s">
        <v>42</v>
      </c>
      <c r="F30" s="60" t="s">
        <v>43</v>
      </c>
      <c r="G30" s="60" t="s">
        <v>53</v>
      </c>
      <c r="H30" s="60" t="s">
        <v>152</v>
      </c>
      <c r="I30" s="69"/>
      <c r="J30" s="69"/>
      <c r="K30" s="69"/>
      <c r="L30" s="60" t="s">
        <v>146</v>
      </c>
      <c r="M30" s="60" t="s">
        <v>45</v>
      </c>
      <c r="N30" s="70">
        <v>0</v>
      </c>
      <c r="O30" s="60" t="s">
        <v>153</v>
      </c>
      <c r="P30" s="61"/>
      <c r="Q30" s="71" t="str">
        <f t="shared" ref="Q30:AB30" si="25">IFERROR(IF(AND(Q$4&lt;=$K30,Q$4+6&gt;=$I30),"■",""),"")</f>
        <v/>
      </c>
      <c r="R30" s="71" t="str">
        <f t="shared" si="25"/>
        <v/>
      </c>
      <c r="S30" s="71" t="str">
        <f t="shared" si="25"/>
        <v/>
      </c>
      <c r="T30" s="71" t="str">
        <f t="shared" si="25"/>
        <v/>
      </c>
      <c r="U30" s="71" t="str">
        <f t="shared" si="25"/>
        <v/>
      </c>
      <c r="V30" s="71" t="str">
        <f t="shared" si="25"/>
        <v/>
      </c>
      <c r="W30" s="71" t="str">
        <f t="shared" si="25"/>
        <v/>
      </c>
      <c r="X30" s="71" t="str">
        <f t="shared" si="25"/>
        <v/>
      </c>
      <c r="Y30" s="71" t="str">
        <f t="shared" si="25"/>
        <v/>
      </c>
      <c r="Z30" s="71" t="str">
        <f t="shared" si="25"/>
        <v/>
      </c>
      <c r="AA30" s="71" t="str">
        <f t="shared" si="25"/>
        <v/>
      </c>
      <c r="AB30" s="71" t="str">
        <f t="shared" si="25"/>
        <v/>
      </c>
      <c r="AC30" s="50"/>
      <c r="AD30" s="50"/>
      <c r="AE30" s="50"/>
    </row>
    <row r="31" ht="21" customHeight="1" spans="1:31">
      <c r="A31" s="59" t="s">
        <v>154</v>
      </c>
      <c r="B31" s="72"/>
      <c r="C31" s="72"/>
      <c r="D31" s="60" t="s">
        <v>155</v>
      </c>
      <c r="E31" s="60" t="s">
        <v>42</v>
      </c>
      <c r="F31" s="60" t="s">
        <v>43</v>
      </c>
      <c r="G31" s="60" t="s">
        <v>53</v>
      </c>
      <c r="H31" s="60" t="s">
        <v>156</v>
      </c>
      <c r="I31" s="69"/>
      <c r="J31" s="69"/>
      <c r="K31" s="69"/>
      <c r="L31" s="60" t="s">
        <v>150</v>
      </c>
      <c r="M31" s="60" t="s">
        <v>45</v>
      </c>
      <c r="N31" s="70">
        <v>0</v>
      </c>
      <c r="O31" s="60" t="s">
        <v>157</v>
      </c>
      <c r="P31" s="61"/>
      <c r="Q31" s="71" t="str">
        <f t="shared" ref="Q31:AB31" si="26">IFERROR(IF(AND(Q$4&lt;=$K31,Q$4+6&gt;=$I31),"■",""),"")</f>
        <v/>
      </c>
      <c r="R31" s="71" t="str">
        <f t="shared" si="26"/>
        <v/>
      </c>
      <c r="S31" s="71" t="str">
        <f t="shared" si="26"/>
        <v/>
      </c>
      <c r="T31" s="71" t="str">
        <f t="shared" si="26"/>
        <v/>
      </c>
      <c r="U31" s="71" t="str">
        <f t="shared" si="26"/>
        <v/>
      </c>
      <c r="V31" s="71" t="str">
        <f t="shared" si="26"/>
        <v/>
      </c>
      <c r="W31" s="71" t="str">
        <f t="shared" si="26"/>
        <v/>
      </c>
      <c r="X31" s="71" t="str">
        <f t="shared" si="26"/>
        <v/>
      </c>
      <c r="Y31" s="71" t="str">
        <f t="shared" si="26"/>
        <v/>
      </c>
      <c r="Z31" s="71" t="str">
        <f t="shared" si="26"/>
        <v/>
      </c>
      <c r="AA31" s="71" t="str">
        <f t="shared" si="26"/>
        <v/>
      </c>
      <c r="AB31" s="71" t="str">
        <f t="shared" si="26"/>
        <v/>
      </c>
      <c r="AC31" s="50"/>
      <c r="AD31" s="50"/>
      <c r="AE31" s="50"/>
    </row>
    <row r="32" ht="21" customHeight="1" spans="1:31">
      <c r="A32" s="59" t="s">
        <v>158</v>
      </c>
      <c r="B32" s="72"/>
      <c r="C32" s="72"/>
      <c r="D32" s="60" t="s">
        <v>159</v>
      </c>
      <c r="E32" s="60" t="s">
        <v>42</v>
      </c>
      <c r="F32" s="60" t="s">
        <v>43</v>
      </c>
      <c r="G32" s="60" t="s">
        <v>53</v>
      </c>
      <c r="H32" s="60" t="s">
        <v>160</v>
      </c>
      <c r="I32" s="69"/>
      <c r="J32" s="69"/>
      <c r="K32" s="69"/>
      <c r="L32" s="60" t="s">
        <v>154</v>
      </c>
      <c r="M32" s="60" t="s">
        <v>45</v>
      </c>
      <c r="N32" s="70">
        <v>0</v>
      </c>
      <c r="O32" s="60" t="s">
        <v>161</v>
      </c>
      <c r="P32" s="61"/>
      <c r="Q32" s="71" t="str">
        <f t="shared" ref="Q32:AB32" si="27">IFERROR(IF(AND(Q$4&lt;=$K32,Q$4+6&gt;=$I32),"■",""),"")</f>
        <v/>
      </c>
      <c r="R32" s="71" t="str">
        <f t="shared" si="27"/>
        <v/>
      </c>
      <c r="S32" s="71" t="str">
        <f t="shared" si="27"/>
        <v/>
      </c>
      <c r="T32" s="71" t="str">
        <f t="shared" si="27"/>
        <v/>
      </c>
      <c r="U32" s="71" t="str">
        <f t="shared" si="27"/>
        <v/>
      </c>
      <c r="V32" s="71" t="str">
        <f t="shared" si="27"/>
        <v/>
      </c>
      <c r="W32" s="71" t="str">
        <f t="shared" si="27"/>
        <v/>
      </c>
      <c r="X32" s="71" t="str">
        <f t="shared" si="27"/>
        <v/>
      </c>
      <c r="Y32" s="71" t="str">
        <f t="shared" si="27"/>
        <v/>
      </c>
      <c r="Z32" s="71" t="str">
        <f t="shared" si="27"/>
        <v/>
      </c>
      <c r="AA32" s="71" t="str">
        <f t="shared" si="27"/>
        <v/>
      </c>
      <c r="AB32" s="71" t="str">
        <f t="shared" si="27"/>
        <v/>
      </c>
      <c r="AC32" s="50"/>
      <c r="AD32" s="50"/>
      <c r="AE32" s="50"/>
    </row>
    <row r="33" ht="21" customHeight="1" spans="1:31">
      <c r="A33" s="59" t="s">
        <v>162</v>
      </c>
      <c r="B33" s="72"/>
      <c r="C33" s="60" t="s">
        <v>163</v>
      </c>
      <c r="D33" s="60" t="s">
        <v>164</v>
      </c>
      <c r="E33" s="60" t="s">
        <v>42</v>
      </c>
      <c r="F33" s="60" t="s">
        <v>165</v>
      </c>
      <c r="G33" s="60" t="s">
        <v>53</v>
      </c>
      <c r="H33" s="60" t="s">
        <v>166</v>
      </c>
      <c r="I33" s="69"/>
      <c r="J33" s="69"/>
      <c r="K33" s="69"/>
      <c r="L33" s="76">
        <v>1.8</v>
      </c>
      <c r="M33" s="60" t="s">
        <v>45</v>
      </c>
      <c r="N33" s="70">
        <v>0</v>
      </c>
      <c r="O33" s="60" t="s">
        <v>167</v>
      </c>
      <c r="P33" s="61"/>
      <c r="Q33" s="71" t="str">
        <f t="shared" ref="Q33:AB33" si="28">IFERROR(IF(AND(Q$4&lt;=$K33,Q$4+6&gt;=$I33),"■",""),"")</f>
        <v/>
      </c>
      <c r="R33" s="71" t="str">
        <f t="shared" si="28"/>
        <v/>
      </c>
      <c r="S33" s="71" t="str">
        <f t="shared" si="28"/>
        <v/>
      </c>
      <c r="T33" s="71" t="str">
        <f t="shared" si="28"/>
        <v/>
      </c>
      <c r="U33" s="71" t="str">
        <f t="shared" si="28"/>
        <v/>
      </c>
      <c r="V33" s="71" t="str">
        <f t="shared" si="28"/>
        <v/>
      </c>
      <c r="W33" s="71" t="str">
        <f t="shared" si="28"/>
        <v/>
      </c>
      <c r="X33" s="71" t="str">
        <f t="shared" si="28"/>
        <v/>
      </c>
      <c r="Y33" s="71" t="str">
        <f t="shared" si="28"/>
        <v/>
      </c>
      <c r="Z33" s="71" t="str">
        <f t="shared" si="28"/>
        <v/>
      </c>
      <c r="AA33" s="71" t="str">
        <f t="shared" si="28"/>
        <v/>
      </c>
      <c r="AB33" s="71" t="str">
        <f t="shared" si="28"/>
        <v/>
      </c>
      <c r="AC33" s="50"/>
      <c r="AD33" s="50"/>
      <c r="AE33" s="50"/>
    </row>
    <row r="34" ht="21" customHeight="1" spans="1:31">
      <c r="A34" s="59" t="s">
        <v>168</v>
      </c>
      <c r="B34" s="72"/>
      <c r="C34" s="72"/>
      <c r="D34" s="60" t="s">
        <v>169</v>
      </c>
      <c r="E34" s="60" t="s">
        <v>42</v>
      </c>
      <c r="F34" s="60" t="s">
        <v>165</v>
      </c>
      <c r="G34" s="60" t="s">
        <v>53</v>
      </c>
      <c r="H34" s="60" t="s">
        <v>148</v>
      </c>
      <c r="I34" s="69"/>
      <c r="J34" s="69"/>
      <c r="K34" s="69"/>
      <c r="L34" s="60" t="s">
        <v>162</v>
      </c>
      <c r="M34" s="60" t="s">
        <v>45</v>
      </c>
      <c r="N34" s="70">
        <v>0</v>
      </c>
      <c r="O34" s="60" t="s">
        <v>170</v>
      </c>
      <c r="P34" s="61"/>
      <c r="Q34" s="71" t="str">
        <f t="shared" ref="Q34:AB34" si="29">IFERROR(IF(AND(Q$4&lt;=$K34,Q$4+6&gt;=$I34),"■",""),"")</f>
        <v/>
      </c>
      <c r="R34" s="71" t="str">
        <f t="shared" si="29"/>
        <v/>
      </c>
      <c r="S34" s="71" t="str">
        <f t="shared" si="29"/>
        <v/>
      </c>
      <c r="T34" s="71" t="str">
        <f t="shared" si="29"/>
        <v/>
      </c>
      <c r="U34" s="71" t="str">
        <f t="shared" si="29"/>
        <v/>
      </c>
      <c r="V34" s="71" t="str">
        <f t="shared" si="29"/>
        <v/>
      </c>
      <c r="W34" s="71" t="str">
        <f t="shared" si="29"/>
        <v/>
      </c>
      <c r="X34" s="71" t="str">
        <f t="shared" si="29"/>
        <v/>
      </c>
      <c r="Y34" s="71" t="str">
        <f t="shared" si="29"/>
        <v/>
      </c>
      <c r="Z34" s="71" t="str">
        <f t="shared" si="29"/>
        <v/>
      </c>
      <c r="AA34" s="71" t="str">
        <f t="shared" si="29"/>
        <v/>
      </c>
      <c r="AB34" s="71" t="str">
        <f t="shared" si="29"/>
        <v/>
      </c>
      <c r="AC34" s="50"/>
      <c r="AD34" s="50"/>
      <c r="AE34" s="50"/>
    </row>
    <row r="35" ht="21" customHeight="1" spans="1:31">
      <c r="A35" s="59" t="s">
        <v>171</v>
      </c>
      <c r="B35" s="72"/>
      <c r="C35" s="72"/>
      <c r="D35" s="60" t="s">
        <v>172</v>
      </c>
      <c r="E35" s="60" t="s">
        <v>42</v>
      </c>
      <c r="F35" s="60" t="s">
        <v>165</v>
      </c>
      <c r="G35" s="60" t="s">
        <v>148</v>
      </c>
      <c r="H35" s="60" t="s">
        <v>53</v>
      </c>
      <c r="I35" s="69"/>
      <c r="J35" s="69"/>
      <c r="K35" s="69"/>
      <c r="L35" s="60" t="s">
        <v>173</v>
      </c>
      <c r="M35" s="60" t="s">
        <v>45</v>
      </c>
      <c r="N35" s="70">
        <v>0</v>
      </c>
      <c r="O35" s="60" t="s">
        <v>174</v>
      </c>
      <c r="P35" s="61"/>
      <c r="Q35" s="71" t="str">
        <f t="shared" ref="Q35:AB35" si="30">IFERROR(IF(AND(Q$4&lt;=$K35,Q$4+6&gt;=$I35),"■",""),"")</f>
        <v/>
      </c>
      <c r="R35" s="71" t="str">
        <f t="shared" si="30"/>
        <v/>
      </c>
      <c r="S35" s="71" t="str">
        <f t="shared" si="30"/>
        <v/>
      </c>
      <c r="T35" s="71" t="str">
        <f t="shared" si="30"/>
        <v/>
      </c>
      <c r="U35" s="71" t="str">
        <f t="shared" si="30"/>
        <v/>
      </c>
      <c r="V35" s="71" t="str">
        <f t="shared" si="30"/>
        <v/>
      </c>
      <c r="W35" s="71" t="str">
        <f t="shared" si="30"/>
        <v/>
      </c>
      <c r="X35" s="71" t="str">
        <f t="shared" si="30"/>
        <v/>
      </c>
      <c r="Y35" s="71" t="str">
        <f t="shared" si="30"/>
        <v/>
      </c>
      <c r="Z35" s="71" t="str">
        <f t="shared" si="30"/>
        <v/>
      </c>
      <c r="AA35" s="71" t="str">
        <f t="shared" si="30"/>
        <v/>
      </c>
      <c r="AB35" s="71" t="str">
        <f t="shared" si="30"/>
        <v/>
      </c>
      <c r="AC35" s="50"/>
      <c r="AD35" s="50"/>
      <c r="AE35" s="50"/>
    </row>
    <row r="36" ht="21" customHeight="1" spans="1:31">
      <c r="A36" s="59" t="s">
        <v>175</v>
      </c>
      <c r="B36" s="72"/>
      <c r="C36" s="72"/>
      <c r="D36" s="60" t="s">
        <v>176</v>
      </c>
      <c r="E36" s="60" t="s">
        <v>42</v>
      </c>
      <c r="F36" s="60" t="s">
        <v>165</v>
      </c>
      <c r="G36" s="60" t="s">
        <v>53</v>
      </c>
      <c r="H36" s="60" t="s">
        <v>177</v>
      </c>
      <c r="I36" s="69"/>
      <c r="J36" s="69"/>
      <c r="K36" s="69"/>
      <c r="L36" s="60" t="s">
        <v>171</v>
      </c>
      <c r="M36" s="60" t="s">
        <v>45</v>
      </c>
      <c r="N36" s="70">
        <v>0</v>
      </c>
      <c r="O36" s="60" t="s">
        <v>178</v>
      </c>
      <c r="P36" s="61"/>
      <c r="Q36" s="71" t="str">
        <f t="shared" ref="Q36:AB36" si="31">IFERROR(IF(AND(Q$4&lt;=$K36,Q$4+6&gt;=$I36),"■",""),"")</f>
        <v/>
      </c>
      <c r="R36" s="71" t="str">
        <f t="shared" si="31"/>
        <v/>
      </c>
      <c r="S36" s="71" t="str">
        <f t="shared" si="31"/>
        <v/>
      </c>
      <c r="T36" s="71" t="str">
        <f t="shared" si="31"/>
        <v/>
      </c>
      <c r="U36" s="71" t="str">
        <f t="shared" si="31"/>
        <v/>
      </c>
      <c r="V36" s="71" t="str">
        <f t="shared" si="31"/>
        <v/>
      </c>
      <c r="W36" s="71" t="str">
        <f t="shared" si="31"/>
        <v/>
      </c>
      <c r="X36" s="71" t="str">
        <f t="shared" si="31"/>
        <v/>
      </c>
      <c r="Y36" s="71" t="str">
        <f t="shared" si="31"/>
        <v/>
      </c>
      <c r="Z36" s="71" t="str">
        <f t="shared" si="31"/>
        <v/>
      </c>
      <c r="AA36" s="71" t="str">
        <f t="shared" si="31"/>
        <v/>
      </c>
      <c r="AB36" s="71" t="str">
        <f t="shared" si="31"/>
        <v/>
      </c>
      <c r="AC36" s="50"/>
      <c r="AD36" s="50"/>
      <c r="AE36" s="50"/>
    </row>
    <row r="37" ht="21" customHeight="1" spans="1:31">
      <c r="A37" s="59" t="s">
        <v>179</v>
      </c>
      <c r="B37" s="72"/>
      <c r="C37" s="72"/>
      <c r="D37" s="60" t="s">
        <v>180</v>
      </c>
      <c r="E37" s="60" t="s">
        <v>42</v>
      </c>
      <c r="F37" s="60" t="s">
        <v>165</v>
      </c>
      <c r="G37" s="60" t="s">
        <v>53</v>
      </c>
      <c r="H37" s="60" t="s">
        <v>181</v>
      </c>
      <c r="I37" s="69"/>
      <c r="J37" s="69"/>
      <c r="K37" s="69"/>
      <c r="L37" s="60" t="s">
        <v>175</v>
      </c>
      <c r="M37" s="60" t="s">
        <v>45</v>
      </c>
      <c r="N37" s="70">
        <v>0</v>
      </c>
      <c r="O37" s="60" t="s">
        <v>182</v>
      </c>
      <c r="P37" s="61"/>
      <c r="Q37" s="71" t="str">
        <f t="shared" ref="Q37:AB37" si="32">IFERROR(IF(AND(Q$4&lt;=$K37,Q$4+6&gt;=$I37),"■",""),"")</f>
        <v/>
      </c>
      <c r="R37" s="71" t="str">
        <f t="shared" si="32"/>
        <v/>
      </c>
      <c r="S37" s="71" t="str">
        <f t="shared" si="32"/>
        <v/>
      </c>
      <c r="T37" s="71" t="str">
        <f t="shared" si="32"/>
        <v/>
      </c>
      <c r="U37" s="71" t="str">
        <f t="shared" si="32"/>
        <v/>
      </c>
      <c r="V37" s="71" t="str">
        <f t="shared" si="32"/>
        <v/>
      </c>
      <c r="W37" s="71" t="str">
        <f t="shared" si="32"/>
        <v/>
      </c>
      <c r="X37" s="71" t="str">
        <f t="shared" si="32"/>
        <v/>
      </c>
      <c r="Y37" s="71" t="str">
        <f t="shared" si="32"/>
        <v/>
      </c>
      <c r="Z37" s="71" t="str">
        <f t="shared" si="32"/>
        <v/>
      </c>
      <c r="AA37" s="71" t="str">
        <f t="shared" si="32"/>
        <v/>
      </c>
      <c r="AB37" s="71" t="str">
        <f t="shared" si="32"/>
        <v/>
      </c>
      <c r="AC37" s="50"/>
      <c r="AD37" s="50"/>
      <c r="AE37" s="50"/>
    </row>
    <row r="38" ht="21" customHeight="1" spans="1:31">
      <c r="A38" s="59" t="s">
        <v>183</v>
      </c>
      <c r="B38" s="72"/>
      <c r="C38" s="60" t="s">
        <v>184</v>
      </c>
      <c r="D38" s="60" t="s">
        <v>185</v>
      </c>
      <c r="E38" s="60" t="s">
        <v>42</v>
      </c>
      <c r="F38" s="60" t="s">
        <v>43</v>
      </c>
      <c r="G38" s="60" t="s">
        <v>53</v>
      </c>
      <c r="H38" s="60" t="s">
        <v>3</v>
      </c>
      <c r="I38" s="69"/>
      <c r="J38" s="69"/>
      <c r="K38" s="69"/>
      <c r="L38" s="60" t="s">
        <v>186</v>
      </c>
      <c r="M38" s="60" t="s">
        <v>45</v>
      </c>
      <c r="N38" s="70">
        <v>0</v>
      </c>
      <c r="O38" s="60" t="s">
        <v>187</v>
      </c>
      <c r="P38" s="61"/>
      <c r="Q38" s="71" t="str">
        <f t="shared" ref="Q38:AB38" si="33">IFERROR(IF(AND(Q$4&lt;=$K38,Q$4+6&gt;=$I38),"■",""),"")</f>
        <v/>
      </c>
      <c r="R38" s="71" t="str">
        <f t="shared" si="33"/>
        <v/>
      </c>
      <c r="S38" s="71" t="str">
        <f t="shared" si="33"/>
        <v/>
      </c>
      <c r="T38" s="71" t="str">
        <f t="shared" si="33"/>
        <v/>
      </c>
      <c r="U38" s="71" t="str">
        <f t="shared" si="33"/>
        <v/>
      </c>
      <c r="V38" s="71" t="str">
        <f t="shared" si="33"/>
        <v/>
      </c>
      <c r="W38" s="71" t="str">
        <f t="shared" si="33"/>
        <v/>
      </c>
      <c r="X38" s="71" t="str">
        <f t="shared" si="33"/>
        <v/>
      </c>
      <c r="Y38" s="71" t="str">
        <f t="shared" si="33"/>
        <v/>
      </c>
      <c r="Z38" s="71" t="str">
        <f t="shared" si="33"/>
        <v/>
      </c>
      <c r="AA38" s="71" t="str">
        <f t="shared" si="33"/>
        <v/>
      </c>
      <c r="AB38" s="71" t="str">
        <f t="shared" si="33"/>
        <v/>
      </c>
      <c r="AC38" s="50"/>
      <c r="AD38" s="50"/>
      <c r="AE38" s="50"/>
    </row>
    <row r="39" ht="21" customHeight="1" spans="1:31">
      <c r="A39" s="59" t="s">
        <v>188</v>
      </c>
      <c r="B39" s="72"/>
      <c r="C39" s="72"/>
      <c r="D39" s="60" t="s">
        <v>189</v>
      </c>
      <c r="E39" s="60" t="s">
        <v>42</v>
      </c>
      <c r="F39" s="60" t="s">
        <v>43</v>
      </c>
      <c r="G39" s="60" t="s">
        <v>53</v>
      </c>
      <c r="H39" s="60" t="s">
        <v>116</v>
      </c>
      <c r="I39" s="69"/>
      <c r="J39" s="69"/>
      <c r="K39" s="69"/>
      <c r="L39" s="60" t="s">
        <v>183</v>
      </c>
      <c r="M39" s="60" t="s">
        <v>45</v>
      </c>
      <c r="N39" s="70">
        <v>0</v>
      </c>
      <c r="O39" s="60" t="s">
        <v>190</v>
      </c>
      <c r="P39" s="61"/>
      <c r="Q39" s="71" t="str">
        <f t="shared" ref="Q39:AB39" si="34">IFERROR(IF(AND(Q$4&lt;=$K39,Q$4+6&gt;=$I39),"■",""),"")</f>
        <v/>
      </c>
      <c r="R39" s="71" t="str">
        <f t="shared" si="34"/>
        <v/>
      </c>
      <c r="S39" s="71" t="str">
        <f t="shared" si="34"/>
        <v/>
      </c>
      <c r="T39" s="71" t="str">
        <f t="shared" si="34"/>
        <v/>
      </c>
      <c r="U39" s="71" t="str">
        <f t="shared" si="34"/>
        <v/>
      </c>
      <c r="V39" s="71" t="str">
        <f t="shared" si="34"/>
        <v/>
      </c>
      <c r="W39" s="71" t="str">
        <f t="shared" si="34"/>
        <v/>
      </c>
      <c r="X39" s="71" t="str">
        <f t="shared" si="34"/>
        <v/>
      </c>
      <c r="Y39" s="71" t="str">
        <f t="shared" si="34"/>
        <v/>
      </c>
      <c r="Z39" s="71" t="str">
        <f t="shared" si="34"/>
        <v/>
      </c>
      <c r="AA39" s="71" t="str">
        <f t="shared" si="34"/>
        <v/>
      </c>
      <c r="AB39" s="71" t="str">
        <f t="shared" si="34"/>
        <v/>
      </c>
      <c r="AC39" s="50"/>
      <c r="AD39" s="50"/>
      <c r="AE39" s="50"/>
    </row>
    <row r="40" ht="21" customHeight="1" spans="1:31">
      <c r="A40" s="59" t="s">
        <v>191</v>
      </c>
      <c r="B40" s="72"/>
      <c r="C40" s="72"/>
      <c r="D40" s="60" t="s">
        <v>192</v>
      </c>
      <c r="E40" s="60" t="s">
        <v>42</v>
      </c>
      <c r="F40" s="60" t="s">
        <v>43</v>
      </c>
      <c r="G40" s="60" t="s">
        <v>53</v>
      </c>
      <c r="H40" s="60" t="s">
        <v>193</v>
      </c>
      <c r="I40" s="69"/>
      <c r="J40" s="69"/>
      <c r="K40" s="69"/>
      <c r="L40" s="60" t="s">
        <v>188</v>
      </c>
      <c r="M40" s="60" t="s">
        <v>45</v>
      </c>
      <c r="N40" s="70">
        <v>0</v>
      </c>
      <c r="O40" s="60" t="s">
        <v>194</v>
      </c>
      <c r="P40" s="61"/>
      <c r="Q40" s="71" t="str">
        <f t="shared" ref="Q40:AB40" si="35">IFERROR(IF(AND(Q$4&lt;=$K40,Q$4+6&gt;=$I40),"■",""),"")</f>
        <v/>
      </c>
      <c r="R40" s="71" t="str">
        <f t="shared" si="35"/>
        <v/>
      </c>
      <c r="S40" s="71" t="str">
        <f t="shared" si="35"/>
        <v/>
      </c>
      <c r="T40" s="71" t="str">
        <f t="shared" si="35"/>
        <v/>
      </c>
      <c r="U40" s="71" t="str">
        <f t="shared" si="35"/>
        <v/>
      </c>
      <c r="V40" s="71" t="str">
        <f t="shared" si="35"/>
        <v/>
      </c>
      <c r="W40" s="71" t="str">
        <f t="shared" si="35"/>
        <v/>
      </c>
      <c r="X40" s="71" t="str">
        <f t="shared" si="35"/>
        <v/>
      </c>
      <c r="Y40" s="71" t="str">
        <f t="shared" si="35"/>
        <v/>
      </c>
      <c r="Z40" s="71" t="str">
        <f t="shared" si="35"/>
        <v/>
      </c>
      <c r="AA40" s="71" t="str">
        <f t="shared" si="35"/>
        <v/>
      </c>
      <c r="AB40" s="71" t="str">
        <f t="shared" si="35"/>
        <v/>
      </c>
      <c r="AC40" s="50"/>
      <c r="AD40" s="50"/>
      <c r="AE40" s="50"/>
    </row>
    <row r="41" ht="21" customHeight="1" spans="1:31">
      <c r="A41" s="59" t="s">
        <v>195</v>
      </c>
      <c r="B41" s="72"/>
      <c r="C41" s="72"/>
      <c r="D41" s="60" t="s">
        <v>196</v>
      </c>
      <c r="E41" s="60" t="s">
        <v>42</v>
      </c>
      <c r="F41" s="60" t="s">
        <v>43</v>
      </c>
      <c r="G41" s="60" t="s">
        <v>53</v>
      </c>
      <c r="H41" s="60" t="s">
        <v>96</v>
      </c>
      <c r="I41" s="69"/>
      <c r="J41" s="69"/>
      <c r="K41" s="69"/>
      <c r="L41" s="60" t="s">
        <v>183</v>
      </c>
      <c r="M41" s="60" t="s">
        <v>45</v>
      </c>
      <c r="N41" s="70">
        <v>0</v>
      </c>
      <c r="O41" s="60" t="s">
        <v>197</v>
      </c>
      <c r="P41" s="61"/>
      <c r="Q41" s="71" t="str">
        <f t="shared" ref="Q41:AB41" si="36">IFERROR(IF(AND(Q$4&lt;=$K41,Q$4+6&gt;=$I41),"■",""),"")</f>
        <v/>
      </c>
      <c r="R41" s="71" t="str">
        <f t="shared" si="36"/>
        <v/>
      </c>
      <c r="S41" s="71" t="str">
        <f t="shared" si="36"/>
        <v/>
      </c>
      <c r="T41" s="71" t="str">
        <f t="shared" si="36"/>
        <v/>
      </c>
      <c r="U41" s="71" t="str">
        <f t="shared" si="36"/>
        <v/>
      </c>
      <c r="V41" s="71" t="str">
        <f t="shared" si="36"/>
        <v/>
      </c>
      <c r="W41" s="71" t="str">
        <f t="shared" si="36"/>
        <v/>
      </c>
      <c r="X41" s="71" t="str">
        <f t="shared" si="36"/>
        <v/>
      </c>
      <c r="Y41" s="71" t="str">
        <f t="shared" si="36"/>
        <v/>
      </c>
      <c r="Z41" s="71" t="str">
        <f t="shared" si="36"/>
        <v/>
      </c>
      <c r="AA41" s="71" t="str">
        <f t="shared" si="36"/>
        <v/>
      </c>
      <c r="AB41" s="71" t="str">
        <f t="shared" si="36"/>
        <v/>
      </c>
      <c r="AC41" s="50"/>
      <c r="AD41" s="50"/>
      <c r="AE41" s="50"/>
    </row>
    <row r="42" ht="21" customHeight="1" spans="1:31">
      <c r="A42" s="59" t="s">
        <v>198</v>
      </c>
      <c r="B42" s="72"/>
      <c r="C42" s="72"/>
      <c r="D42" s="60" t="s">
        <v>199</v>
      </c>
      <c r="E42" s="60" t="s">
        <v>42</v>
      </c>
      <c r="F42" s="60" t="s">
        <v>43</v>
      </c>
      <c r="G42" s="60" t="s">
        <v>53</v>
      </c>
      <c r="H42" s="60" t="s">
        <v>96</v>
      </c>
      <c r="I42" s="69"/>
      <c r="J42" s="69"/>
      <c r="K42" s="69"/>
      <c r="L42" s="60" t="s">
        <v>200</v>
      </c>
      <c r="M42" s="60" t="s">
        <v>45</v>
      </c>
      <c r="N42" s="70">
        <v>0</v>
      </c>
      <c r="O42" s="60" t="s">
        <v>201</v>
      </c>
      <c r="P42" s="61"/>
      <c r="Q42" s="71" t="str">
        <f t="shared" ref="Q42:AB42" si="37">IFERROR(IF(AND(Q$4&lt;=$K42,Q$4+6&gt;=$I42),"■",""),"")</f>
        <v/>
      </c>
      <c r="R42" s="71" t="str">
        <f t="shared" si="37"/>
        <v/>
      </c>
      <c r="S42" s="71" t="str">
        <f t="shared" si="37"/>
        <v/>
      </c>
      <c r="T42" s="71" t="str">
        <f t="shared" si="37"/>
        <v/>
      </c>
      <c r="U42" s="71" t="str">
        <f t="shared" si="37"/>
        <v/>
      </c>
      <c r="V42" s="71" t="str">
        <f t="shared" si="37"/>
        <v/>
      </c>
      <c r="W42" s="71" t="str">
        <f t="shared" si="37"/>
        <v/>
      </c>
      <c r="X42" s="71" t="str">
        <f t="shared" si="37"/>
        <v/>
      </c>
      <c r="Y42" s="71" t="str">
        <f t="shared" si="37"/>
        <v/>
      </c>
      <c r="Z42" s="71" t="str">
        <f t="shared" si="37"/>
        <v/>
      </c>
      <c r="AA42" s="71" t="str">
        <f t="shared" si="37"/>
        <v/>
      </c>
      <c r="AB42" s="71" t="str">
        <f t="shared" si="37"/>
        <v/>
      </c>
      <c r="AC42" s="50"/>
      <c r="AD42" s="50"/>
      <c r="AE42" s="50"/>
    </row>
    <row r="43" ht="21" customHeight="1" spans="1:31">
      <c r="A43" s="59" t="s">
        <v>202</v>
      </c>
      <c r="B43" s="67" t="s">
        <v>203</v>
      </c>
      <c r="C43" s="60" t="s">
        <v>204</v>
      </c>
      <c r="D43" s="60" t="s">
        <v>205</v>
      </c>
      <c r="E43" s="60" t="s">
        <v>42</v>
      </c>
      <c r="F43" s="60" t="s">
        <v>43</v>
      </c>
      <c r="G43" s="60" t="s">
        <v>3</v>
      </c>
      <c r="H43" s="60" t="s">
        <v>206</v>
      </c>
      <c r="I43" s="69"/>
      <c r="J43" s="69"/>
      <c r="K43" s="69"/>
      <c r="L43" s="60" t="s">
        <v>207</v>
      </c>
      <c r="M43" s="60" t="s">
        <v>45</v>
      </c>
      <c r="N43" s="70">
        <v>0</v>
      </c>
      <c r="O43" s="60" t="s">
        <v>208</v>
      </c>
      <c r="P43" s="61"/>
      <c r="Q43" s="71" t="str">
        <f t="shared" ref="Q43:AB43" si="38">IFERROR(IF(AND(Q$4&lt;=$K43,Q$4+6&gt;=$I43),"■",""),"")</f>
        <v/>
      </c>
      <c r="R43" s="71" t="str">
        <f t="shared" si="38"/>
        <v/>
      </c>
      <c r="S43" s="71" t="str">
        <f t="shared" si="38"/>
        <v/>
      </c>
      <c r="T43" s="71" t="str">
        <f t="shared" si="38"/>
        <v/>
      </c>
      <c r="U43" s="71" t="str">
        <f t="shared" si="38"/>
        <v/>
      </c>
      <c r="V43" s="71" t="str">
        <f t="shared" si="38"/>
        <v/>
      </c>
      <c r="W43" s="71" t="str">
        <f t="shared" si="38"/>
        <v/>
      </c>
      <c r="X43" s="71" t="str">
        <f t="shared" si="38"/>
        <v/>
      </c>
      <c r="Y43" s="71" t="str">
        <f t="shared" si="38"/>
        <v/>
      </c>
      <c r="Z43" s="71" t="str">
        <f t="shared" si="38"/>
        <v/>
      </c>
      <c r="AA43" s="71" t="str">
        <f t="shared" si="38"/>
        <v/>
      </c>
      <c r="AB43" s="71" t="str">
        <f t="shared" si="38"/>
        <v/>
      </c>
      <c r="AC43" s="50"/>
      <c r="AD43" s="50"/>
      <c r="AE43" s="50"/>
    </row>
    <row r="44" ht="21" customHeight="1" spans="1:31">
      <c r="A44" s="59" t="s">
        <v>209</v>
      </c>
      <c r="B44" s="72"/>
      <c r="C44" s="72"/>
      <c r="D44" s="60" t="s">
        <v>210</v>
      </c>
      <c r="E44" s="60" t="s">
        <v>42</v>
      </c>
      <c r="F44" s="60" t="s">
        <v>43</v>
      </c>
      <c r="G44" s="60" t="s">
        <v>53</v>
      </c>
      <c r="H44" s="60" t="s">
        <v>211</v>
      </c>
      <c r="I44" s="69"/>
      <c r="J44" s="69"/>
      <c r="K44" s="69"/>
      <c r="L44" s="60" t="s">
        <v>202</v>
      </c>
      <c r="M44" s="60" t="s">
        <v>45</v>
      </c>
      <c r="N44" s="70">
        <v>0</v>
      </c>
      <c r="O44" s="60" t="s">
        <v>212</v>
      </c>
      <c r="P44" s="61"/>
      <c r="Q44" s="71" t="str">
        <f t="shared" ref="Q44:AB44" si="39">IFERROR(IF(AND(Q$4&lt;=$K44,Q$4+6&gt;=$I44),"■",""),"")</f>
        <v/>
      </c>
      <c r="R44" s="71" t="str">
        <f t="shared" si="39"/>
        <v/>
      </c>
      <c r="S44" s="71" t="str">
        <f t="shared" si="39"/>
        <v/>
      </c>
      <c r="T44" s="71" t="str">
        <f t="shared" si="39"/>
        <v/>
      </c>
      <c r="U44" s="71" t="str">
        <f t="shared" si="39"/>
        <v/>
      </c>
      <c r="V44" s="71" t="str">
        <f t="shared" si="39"/>
        <v/>
      </c>
      <c r="W44" s="71" t="str">
        <f t="shared" si="39"/>
        <v/>
      </c>
      <c r="X44" s="71" t="str">
        <f t="shared" si="39"/>
        <v/>
      </c>
      <c r="Y44" s="71" t="str">
        <f t="shared" si="39"/>
        <v/>
      </c>
      <c r="Z44" s="71" t="str">
        <f t="shared" si="39"/>
        <v/>
      </c>
      <c r="AA44" s="71" t="str">
        <f t="shared" si="39"/>
        <v/>
      </c>
      <c r="AB44" s="71" t="str">
        <f t="shared" si="39"/>
        <v/>
      </c>
      <c r="AC44" s="50"/>
      <c r="AD44" s="50"/>
      <c r="AE44" s="50"/>
    </row>
    <row r="45" ht="21" customHeight="1" spans="1:31">
      <c r="A45" s="59" t="s">
        <v>213</v>
      </c>
      <c r="B45" s="72"/>
      <c r="C45" s="60" t="s">
        <v>214</v>
      </c>
      <c r="D45" s="60" t="s">
        <v>215</v>
      </c>
      <c r="E45" s="60" t="s">
        <v>216</v>
      </c>
      <c r="F45" s="60" t="s">
        <v>43</v>
      </c>
      <c r="G45" s="60" t="s">
        <v>53</v>
      </c>
      <c r="H45" s="60" t="s">
        <v>217</v>
      </c>
      <c r="I45" s="69"/>
      <c r="J45" s="69"/>
      <c r="K45" s="69"/>
      <c r="L45" s="60" t="s">
        <v>202</v>
      </c>
      <c r="M45" s="60" t="s">
        <v>45</v>
      </c>
      <c r="N45" s="70">
        <v>0</v>
      </c>
      <c r="O45" s="60" t="s">
        <v>218</v>
      </c>
      <c r="P45" s="61"/>
      <c r="Q45" s="71" t="str">
        <f t="shared" ref="Q45:AB45" si="40">IFERROR(IF(AND(Q$4&lt;=$K45,Q$4+6&gt;=$I45),"■",""),"")</f>
        <v/>
      </c>
      <c r="R45" s="71" t="str">
        <f t="shared" si="40"/>
        <v/>
      </c>
      <c r="S45" s="71" t="str">
        <f t="shared" si="40"/>
        <v/>
      </c>
      <c r="T45" s="71" t="str">
        <f t="shared" si="40"/>
        <v/>
      </c>
      <c r="U45" s="71" t="str">
        <f t="shared" si="40"/>
        <v/>
      </c>
      <c r="V45" s="71" t="str">
        <f t="shared" si="40"/>
        <v/>
      </c>
      <c r="W45" s="71" t="str">
        <f t="shared" si="40"/>
        <v/>
      </c>
      <c r="X45" s="71" t="str">
        <f t="shared" si="40"/>
        <v/>
      </c>
      <c r="Y45" s="71" t="str">
        <f t="shared" si="40"/>
        <v/>
      </c>
      <c r="Z45" s="71" t="str">
        <f t="shared" si="40"/>
        <v/>
      </c>
      <c r="AA45" s="71" t="str">
        <f t="shared" si="40"/>
        <v/>
      </c>
      <c r="AB45" s="71" t="str">
        <f t="shared" si="40"/>
        <v/>
      </c>
      <c r="AC45" s="50"/>
      <c r="AD45" s="50"/>
      <c r="AE45" s="50"/>
    </row>
    <row r="46" ht="21" customHeight="1" spans="1:31">
      <c r="A46" s="59" t="s">
        <v>219</v>
      </c>
      <c r="B46" s="72"/>
      <c r="C46" s="72"/>
      <c r="D46" s="60" t="s">
        <v>220</v>
      </c>
      <c r="E46" s="60" t="s">
        <v>42</v>
      </c>
      <c r="F46" s="60" t="s">
        <v>43</v>
      </c>
      <c r="G46" s="60" t="s">
        <v>53</v>
      </c>
      <c r="H46" s="60" t="s">
        <v>193</v>
      </c>
      <c r="I46" s="69"/>
      <c r="J46" s="69"/>
      <c r="K46" s="69"/>
      <c r="L46" s="60" t="s">
        <v>221</v>
      </c>
      <c r="M46" s="60" t="s">
        <v>45</v>
      </c>
      <c r="N46" s="70">
        <v>0</v>
      </c>
      <c r="O46" s="60" t="s">
        <v>222</v>
      </c>
      <c r="P46" s="61"/>
      <c r="Q46" s="71" t="str">
        <f t="shared" ref="Q46:AB46" si="41">IFERROR(IF(AND(Q$4&lt;=$K46,Q$4+6&gt;=$I46),"■",""),"")</f>
        <v/>
      </c>
      <c r="R46" s="71" t="str">
        <f t="shared" si="41"/>
        <v/>
      </c>
      <c r="S46" s="71" t="str">
        <f t="shared" si="41"/>
        <v/>
      </c>
      <c r="T46" s="71" t="str">
        <f t="shared" si="41"/>
        <v/>
      </c>
      <c r="U46" s="71" t="str">
        <f t="shared" si="41"/>
        <v/>
      </c>
      <c r="V46" s="71" t="str">
        <f t="shared" si="41"/>
        <v/>
      </c>
      <c r="W46" s="71" t="str">
        <f t="shared" si="41"/>
        <v/>
      </c>
      <c r="X46" s="71" t="str">
        <f t="shared" si="41"/>
        <v/>
      </c>
      <c r="Y46" s="71" t="str">
        <f t="shared" si="41"/>
        <v/>
      </c>
      <c r="Z46" s="71" t="str">
        <f t="shared" si="41"/>
        <v/>
      </c>
      <c r="AA46" s="71" t="str">
        <f t="shared" si="41"/>
        <v/>
      </c>
      <c r="AB46" s="71" t="str">
        <f t="shared" si="41"/>
        <v/>
      </c>
      <c r="AC46" s="50"/>
      <c r="AD46" s="50"/>
      <c r="AE46" s="50"/>
    </row>
    <row r="47" ht="21" customHeight="1" spans="1:31">
      <c r="A47" s="59" t="s">
        <v>223</v>
      </c>
      <c r="B47" s="72"/>
      <c r="C47" s="60" t="s">
        <v>224</v>
      </c>
      <c r="D47" s="60" t="s">
        <v>225</v>
      </c>
      <c r="E47" s="60" t="s">
        <v>72</v>
      </c>
      <c r="F47" s="60" t="s">
        <v>43</v>
      </c>
      <c r="G47" s="60" t="s">
        <v>53</v>
      </c>
      <c r="H47" s="60" t="s">
        <v>3</v>
      </c>
      <c r="I47" s="69"/>
      <c r="J47" s="69"/>
      <c r="K47" s="69"/>
      <c r="L47" s="60" t="s">
        <v>219</v>
      </c>
      <c r="M47" s="60" t="s">
        <v>45</v>
      </c>
      <c r="N47" s="70">
        <v>0</v>
      </c>
      <c r="O47" s="60" t="s">
        <v>226</v>
      </c>
      <c r="P47" s="61"/>
      <c r="Q47" s="71" t="str">
        <f t="shared" ref="Q47:AB47" si="42">IFERROR(IF(AND(Q$4&lt;=$K47,Q$4+6&gt;=$I47),"■",""),"")</f>
        <v/>
      </c>
      <c r="R47" s="71" t="str">
        <f t="shared" si="42"/>
        <v/>
      </c>
      <c r="S47" s="71" t="str">
        <f t="shared" si="42"/>
        <v/>
      </c>
      <c r="T47" s="71" t="str">
        <f t="shared" si="42"/>
        <v/>
      </c>
      <c r="U47" s="71" t="str">
        <f t="shared" si="42"/>
        <v/>
      </c>
      <c r="V47" s="71" t="str">
        <f t="shared" si="42"/>
        <v/>
      </c>
      <c r="W47" s="71" t="str">
        <f t="shared" si="42"/>
        <v/>
      </c>
      <c r="X47" s="71" t="str">
        <f t="shared" si="42"/>
        <v/>
      </c>
      <c r="Y47" s="71" t="str">
        <f t="shared" si="42"/>
        <v/>
      </c>
      <c r="Z47" s="71" t="str">
        <f t="shared" si="42"/>
        <v/>
      </c>
      <c r="AA47" s="71" t="str">
        <f t="shared" si="42"/>
        <v/>
      </c>
      <c r="AB47" s="71" t="str">
        <f t="shared" si="42"/>
        <v/>
      </c>
      <c r="AC47" s="50"/>
      <c r="AD47" s="50"/>
      <c r="AE47" s="50"/>
    </row>
    <row r="48" ht="21" customHeight="1" spans="1:31">
      <c r="A48" s="59" t="s">
        <v>227</v>
      </c>
      <c r="B48" s="67" t="s">
        <v>228</v>
      </c>
      <c r="C48" s="60" t="s">
        <v>229</v>
      </c>
      <c r="D48" s="60" t="s">
        <v>230</v>
      </c>
      <c r="E48" s="60" t="s">
        <v>42</v>
      </c>
      <c r="F48" s="60" t="s">
        <v>43</v>
      </c>
      <c r="G48" s="60" t="s">
        <v>3</v>
      </c>
      <c r="H48" s="60" t="s">
        <v>231</v>
      </c>
      <c r="I48" s="69"/>
      <c r="J48" s="69"/>
      <c r="K48" s="69"/>
      <c r="L48" s="60" t="s">
        <v>209</v>
      </c>
      <c r="M48" s="60" t="s">
        <v>45</v>
      </c>
      <c r="N48" s="70">
        <v>0</v>
      </c>
      <c r="O48" s="60" t="s">
        <v>232</v>
      </c>
      <c r="P48" s="61"/>
      <c r="Q48" s="71" t="str">
        <f t="shared" ref="Q48:AB48" si="43">IFERROR(IF(AND(Q$4&lt;=$K48,Q$4+6&gt;=$I48),"■",""),"")</f>
        <v/>
      </c>
      <c r="R48" s="71" t="str">
        <f t="shared" si="43"/>
        <v/>
      </c>
      <c r="S48" s="71" t="str">
        <f t="shared" si="43"/>
        <v/>
      </c>
      <c r="T48" s="71" t="str">
        <f t="shared" si="43"/>
        <v/>
      </c>
      <c r="U48" s="71" t="str">
        <f t="shared" si="43"/>
        <v/>
      </c>
      <c r="V48" s="71" t="str">
        <f t="shared" si="43"/>
        <v/>
      </c>
      <c r="W48" s="71" t="str">
        <f t="shared" si="43"/>
        <v/>
      </c>
      <c r="X48" s="71" t="str">
        <f t="shared" si="43"/>
        <v/>
      </c>
      <c r="Y48" s="71" t="str">
        <f t="shared" si="43"/>
        <v/>
      </c>
      <c r="Z48" s="71" t="str">
        <f t="shared" si="43"/>
        <v/>
      </c>
      <c r="AA48" s="71" t="str">
        <f t="shared" si="43"/>
        <v/>
      </c>
      <c r="AB48" s="71" t="str">
        <f t="shared" si="43"/>
        <v/>
      </c>
      <c r="AC48" s="50"/>
      <c r="AD48" s="50"/>
      <c r="AE48" s="50"/>
    </row>
    <row r="49" ht="21" customHeight="1" spans="1:31">
      <c r="A49" s="59" t="s">
        <v>233</v>
      </c>
      <c r="B49" s="72"/>
      <c r="C49" s="72"/>
      <c r="D49" s="60" t="s">
        <v>234</v>
      </c>
      <c r="E49" s="60" t="s">
        <v>42</v>
      </c>
      <c r="F49" s="60" t="s">
        <v>165</v>
      </c>
      <c r="G49" s="60" t="s">
        <v>53</v>
      </c>
      <c r="H49" s="60" t="s">
        <v>235</v>
      </c>
      <c r="I49" s="69"/>
      <c r="J49" s="69"/>
      <c r="K49" s="69"/>
      <c r="L49" s="60" t="s">
        <v>236</v>
      </c>
      <c r="M49" s="60" t="s">
        <v>45</v>
      </c>
      <c r="N49" s="70">
        <v>0</v>
      </c>
      <c r="O49" s="60" t="s">
        <v>237</v>
      </c>
      <c r="P49" s="61"/>
      <c r="Q49" s="71" t="str">
        <f t="shared" ref="Q49:AB49" si="44">IFERROR(IF(AND(Q$4&lt;=$K49,Q$4+6&gt;=$I49),"■",""),"")</f>
        <v/>
      </c>
      <c r="R49" s="71" t="str">
        <f t="shared" si="44"/>
        <v/>
      </c>
      <c r="S49" s="71" t="str">
        <f t="shared" si="44"/>
        <v/>
      </c>
      <c r="T49" s="71" t="str">
        <f t="shared" si="44"/>
        <v/>
      </c>
      <c r="U49" s="71" t="str">
        <f t="shared" si="44"/>
        <v/>
      </c>
      <c r="V49" s="71" t="str">
        <f t="shared" si="44"/>
        <v/>
      </c>
      <c r="W49" s="71" t="str">
        <f t="shared" si="44"/>
        <v/>
      </c>
      <c r="X49" s="71" t="str">
        <f t="shared" si="44"/>
        <v/>
      </c>
      <c r="Y49" s="71" t="str">
        <f t="shared" si="44"/>
        <v/>
      </c>
      <c r="Z49" s="71" t="str">
        <f t="shared" si="44"/>
        <v/>
      </c>
      <c r="AA49" s="71" t="str">
        <f t="shared" si="44"/>
        <v/>
      </c>
      <c r="AB49" s="71" t="str">
        <f t="shared" si="44"/>
        <v/>
      </c>
      <c r="AC49" s="50"/>
      <c r="AD49" s="50"/>
      <c r="AE49" s="50"/>
    </row>
    <row r="50" ht="21" customHeight="1" spans="1:31">
      <c r="A50" s="59" t="s">
        <v>238</v>
      </c>
      <c r="B50" s="72"/>
      <c r="C50" s="60" t="s">
        <v>239</v>
      </c>
      <c r="D50" s="60" t="s">
        <v>240</v>
      </c>
      <c r="E50" s="60" t="s">
        <v>42</v>
      </c>
      <c r="F50" s="60" t="s">
        <v>43</v>
      </c>
      <c r="G50" s="60" t="s">
        <v>53</v>
      </c>
      <c r="H50" s="60" t="s">
        <v>241</v>
      </c>
      <c r="I50" s="69"/>
      <c r="J50" s="69"/>
      <c r="K50" s="69"/>
      <c r="L50" s="60" t="s">
        <v>242</v>
      </c>
      <c r="M50" s="60" t="s">
        <v>45</v>
      </c>
      <c r="N50" s="70">
        <v>0</v>
      </c>
      <c r="O50" s="60" t="s">
        <v>243</v>
      </c>
      <c r="P50" s="61"/>
      <c r="Q50" s="71" t="str">
        <f t="shared" ref="Q50:AB50" si="45">IFERROR(IF(AND(Q$4&lt;=$K50,Q$4+6&gt;=$I50),"■",""),"")</f>
        <v/>
      </c>
      <c r="R50" s="71" t="str">
        <f t="shared" si="45"/>
        <v/>
      </c>
      <c r="S50" s="71" t="str">
        <f t="shared" si="45"/>
        <v/>
      </c>
      <c r="T50" s="71" t="str">
        <f t="shared" si="45"/>
        <v/>
      </c>
      <c r="U50" s="71" t="str">
        <f t="shared" si="45"/>
        <v/>
      </c>
      <c r="V50" s="71" t="str">
        <f t="shared" si="45"/>
        <v/>
      </c>
      <c r="W50" s="71" t="str">
        <f t="shared" si="45"/>
        <v/>
      </c>
      <c r="X50" s="71" t="str">
        <f t="shared" si="45"/>
        <v/>
      </c>
      <c r="Y50" s="71" t="str">
        <f t="shared" si="45"/>
        <v/>
      </c>
      <c r="Z50" s="71" t="str">
        <f t="shared" si="45"/>
        <v/>
      </c>
      <c r="AA50" s="71" t="str">
        <f t="shared" si="45"/>
        <v/>
      </c>
      <c r="AB50" s="71" t="str">
        <f t="shared" si="45"/>
        <v/>
      </c>
      <c r="AC50" s="50"/>
      <c r="AD50" s="50"/>
      <c r="AE50" s="50"/>
    </row>
    <row r="51" ht="21" customHeight="1" spans="1:31">
      <c r="A51" s="59" t="s">
        <v>244</v>
      </c>
      <c r="B51" s="72"/>
      <c r="C51" s="72"/>
      <c r="D51" s="60" t="s">
        <v>245</v>
      </c>
      <c r="E51" s="60" t="s">
        <v>72</v>
      </c>
      <c r="F51" s="60" t="s">
        <v>43</v>
      </c>
      <c r="G51" s="60" t="s">
        <v>3</v>
      </c>
      <c r="H51" s="60" t="s">
        <v>231</v>
      </c>
      <c r="I51" s="69"/>
      <c r="J51" s="69"/>
      <c r="K51" s="69"/>
      <c r="L51" s="60" t="s">
        <v>238</v>
      </c>
      <c r="M51" s="60" t="s">
        <v>45</v>
      </c>
      <c r="N51" s="70">
        <v>0</v>
      </c>
      <c r="O51" s="60" t="s">
        <v>246</v>
      </c>
      <c r="P51" s="61"/>
      <c r="Q51" s="71" t="str">
        <f t="shared" ref="Q51:AB51" si="46">IFERROR(IF(AND(Q$4&lt;=$K51,Q$4+6&gt;=$I51),"■",""),"")</f>
        <v/>
      </c>
      <c r="R51" s="71" t="str">
        <f t="shared" si="46"/>
        <v/>
      </c>
      <c r="S51" s="71" t="str">
        <f t="shared" si="46"/>
        <v/>
      </c>
      <c r="T51" s="71" t="str">
        <f t="shared" si="46"/>
        <v/>
      </c>
      <c r="U51" s="71" t="str">
        <f t="shared" si="46"/>
        <v/>
      </c>
      <c r="V51" s="71" t="str">
        <f t="shared" si="46"/>
        <v/>
      </c>
      <c r="W51" s="71" t="str">
        <f t="shared" si="46"/>
        <v/>
      </c>
      <c r="X51" s="71" t="str">
        <f t="shared" si="46"/>
        <v/>
      </c>
      <c r="Y51" s="71" t="str">
        <f t="shared" si="46"/>
        <v/>
      </c>
      <c r="Z51" s="71" t="str">
        <f t="shared" si="46"/>
        <v/>
      </c>
      <c r="AA51" s="71" t="str">
        <f t="shared" si="46"/>
        <v/>
      </c>
      <c r="AB51" s="71" t="str">
        <f t="shared" si="46"/>
        <v/>
      </c>
      <c r="AC51" s="50"/>
      <c r="AD51" s="50"/>
      <c r="AE51" s="50"/>
    </row>
    <row r="52" ht="21" customHeight="1" spans="1:31">
      <c r="A52" s="59" t="s">
        <v>247</v>
      </c>
      <c r="B52" s="72"/>
      <c r="C52" s="60" t="s">
        <v>248</v>
      </c>
      <c r="D52" s="60" t="s">
        <v>249</v>
      </c>
      <c r="E52" s="60" t="s">
        <v>42</v>
      </c>
      <c r="F52" s="60" t="s">
        <v>43</v>
      </c>
      <c r="G52" s="60" t="s">
        <v>53</v>
      </c>
      <c r="H52" s="60" t="s">
        <v>116</v>
      </c>
      <c r="I52" s="69"/>
      <c r="J52" s="69"/>
      <c r="K52" s="69"/>
      <c r="L52" s="60" t="s">
        <v>244</v>
      </c>
      <c r="M52" s="60" t="s">
        <v>45</v>
      </c>
      <c r="N52" s="70">
        <v>0</v>
      </c>
      <c r="O52" s="60" t="s">
        <v>250</v>
      </c>
      <c r="P52" s="61"/>
      <c r="Q52" s="71" t="str">
        <f t="shared" ref="Q52:AB52" si="47">IFERROR(IF(AND(Q$4&lt;=$K52,Q$4+6&gt;=$I52),"■",""),"")</f>
        <v/>
      </c>
      <c r="R52" s="71" t="str">
        <f t="shared" si="47"/>
        <v/>
      </c>
      <c r="S52" s="71" t="str">
        <f t="shared" si="47"/>
        <v/>
      </c>
      <c r="T52" s="71" t="str">
        <f t="shared" si="47"/>
        <v/>
      </c>
      <c r="U52" s="71" t="str">
        <f t="shared" si="47"/>
        <v/>
      </c>
      <c r="V52" s="71" t="str">
        <f t="shared" si="47"/>
        <v/>
      </c>
      <c r="W52" s="71" t="str">
        <f t="shared" si="47"/>
        <v/>
      </c>
      <c r="X52" s="71" t="str">
        <f t="shared" si="47"/>
        <v/>
      </c>
      <c r="Y52" s="71" t="str">
        <f t="shared" si="47"/>
        <v/>
      </c>
      <c r="Z52" s="71" t="str">
        <f t="shared" si="47"/>
        <v/>
      </c>
      <c r="AA52" s="71" t="str">
        <f t="shared" si="47"/>
        <v/>
      </c>
      <c r="AB52" s="71" t="str">
        <f t="shared" si="47"/>
        <v/>
      </c>
      <c r="AC52" s="50"/>
      <c r="AD52" s="50"/>
      <c r="AE52" s="50"/>
    </row>
    <row r="53" ht="21" customHeight="1" spans="1:31">
      <c r="A53" s="59" t="s">
        <v>251</v>
      </c>
      <c r="B53" s="72"/>
      <c r="C53" s="60" t="s">
        <v>252</v>
      </c>
      <c r="D53" s="60" t="s">
        <v>253</v>
      </c>
      <c r="E53" s="60" t="s">
        <v>216</v>
      </c>
      <c r="F53" s="60" t="s">
        <v>43</v>
      </c>
      <c r="G53" s="60" t="s">
        <v>53</v>
      </c>
      <c r="H53" s="60" t="s">
        <v>254</v>
      </c>
      <c r="I53" s="69"/>
      <c r="J53" s="69"/>
      <c r="K53" s="69"/>
      <c r="L53" s="60" t="s">
        <v>244</v>
      </c>
      <c r="M53" s="60" t="s">
        <v>45</v>
      </c>
      <c r="N53" s="70">
        <v>0</v>
      </c>
      <c r="O53" s="60" t="s">
        <v>255</v>
      </c>
      <c r="P53" s="61"/>
      <c r="Q53" s="71" t="str">
        <f t="shared" ref="Q53:AB53" si="48">IFERROR(IF(AND(Q$4&lt;=$K53,Q$4+6&gt;=$I53),"■",""),"")</f>
        <v/>
      </c>
      <c r="R53" s="71" t="str">
        <f t="shared" si="48"/>
        <v/>
      </c>
      <c r="S53" s="71" t="str">
        <f t="shared" si="48"/>
        <v/>
      </c>
      <c r="T53" s="71" t="str">
        <f t="shared" si="48"/>
        <v/>
      </c>
      <c r="U53" s="71" t="str">
        <f t="shared" si="48"/>
        <v/>
      </c>
      <c r="V53" s="71" t="str">
        <f t="shared" si="48"/>
        <v/>
      </c>
      <c r="W53" s="71" t="str">
        <f t="shared" si="48"/>
        <v/>
      </c>
      <c r="X53" s="71" t="str">
        <f t="shared" si="48"/>
        <v/>
      </c>
      <c r="Y53" s="71" t="str">
        <f t="shared" si="48"/>
        <v/>
      </c>
      <c r="Z53" s="71" t="str">
        <f t="shared" si="48"/>
        <v/>
      </c>
      <c r="AA53" s="71" t="str">
        <f t="shared" si="48"/>
        <v/>
      </c>
      <c r="AB53" s="71" t="str">
        <f t="shared" si="48"/>
        <v/>
      </c>
      <c r="AC53" s="50"/>
      <c r="AD53" s="50"/>
      <c r="AE53" s="50"/>
    </row>
    <row r="54" ht="21" customHeight="1" spans="1:31">
      <c r="A54" s="59" t="s">
        <v>256</v>
      </c>
      <c r="B54" s="67" t="s">
        <v>257</v>
      </c>
      <c r="C54" s="60" t="s">
        <v>258</v>
      </c>
      <c r="D54" s="60" t="s">
        <v>259</v>
      </c>
      <c r="E54" s="60" t="s">
        <v>42</v>
      </c>
      <c r="F54" s="60" t="s">
        <v>43</v>
      </c>
      <c r="G54" s="60" t="s">
        <v>3</v>
      </c>
      <c r="H54" s="60" t="s">
        <v>53</v>
      </c>
      <c r="I54" s="69"/>
      <c r="J54" s="69"/>
      <c r="K54" s="69"/>
      <c r="L54" s="60" t="s">
        <v>251</v>
      </c>
      <c r="M54" s="60" t="s">
        <v>45</v>
      </c>
      <c r="N54" s="70">
        <v>0</v>
      </c>
      <c r="O54" s="60" t="s">
        <v>260</v>
      </c>
      <c r="P54" s="61"/>
      <c r="Q54" s="71" t="str">
        <f t="shared" ref="Q54:AB54" si="49">IFERROR(IF(AND(Q$4&lt;=$K54,Q$4+6&gt;=$I54),"■",""),"")</f>
        <v/>
      </c>
      <c r="R54" s="71" t="str">
        <f t="shared" si="49"/>
        <v/>
      </c>
      <c r="S54" s="71" t="str">
        <f t="shared" si="49"/>
        <v/>
      </c>
      <c r="T54" s="71" t="str">
        <f t="shared" si="49"/>
        <v/>
      </c>
      <c r="U54" s="71" t="str">
        <f t="shared" si="49"/>
        <v/>
      </c>
      <c r="V54" s="71" t="str">
        <f t="shared" si="49"/>
        <v/>
      </c>
      <c r="W54" s="71" t="str">
        <f t="shared" si="49"/>
        <v/>
      </c>
      <c r="X54" s="71" t="str">
        <f t="shared" si="49"/>
        <v/>
      </c>
      <c r="Y54" s="71" t="str">
        <f t="shared" si="49"/>
        <v/>
      </c>
      <c r="Z54" s="71" t="str">
        <f t="shared" si="49"/>
        <v/>
      </c>
      <c r="AA54" s="71" t="str">
        <f t="shared" si="49"/>
        <v/>
      </c>
      <c r="AB54" s="71" t="str">
        <f t="shared" si="49"/>
        <v/>
      </c>
      <c r="AC54" s="50"/>
      <c r="AD54" s="50"/>
      <c r="AE54" s="50"/>
    </row>
    <row r="55" ht="21" customHeight="1" spans="1:31">
      <c r="A55" s="59" t="s">
        <v>261</v>
      </c>
      <c r="B55" s="72"/>
      <c r="C55" s="72"/>
      <c r="D55" s="60" t="s">
        <v>262</v>
      </c>
      <c r="E55" s="60" t="s">
        <v>42</v>
      </c>
      <c r="F55" s="60" t="s">
        <v>43</v>
      </c>
      <c r="G55" s="60" t="s">
        <v>3</v>
      </c>
      <c r="H55" s="60" t="s">
        <v>53</v>
      </c>
      <c r="I55" s="69"/>
      <c r="J55" s="69"/>
      <c r="K55" s="69"/>
      <c r="L55" s="60" t="s">
        <v>251</v>
      </c>
      <c r="M55" s="60" t="s">
        <v>45</v>
      </c>
      <c r="N55" s="70">
        <v>0</v>
      </c>
      <c r="O55" s="60" t="s">
        <v>263</v>
      </c>
      <c r="P55" s="61"/>
      <c r="Q55" s="71" t="str">
        <f t="shared" ref="Q55:AB55" si="50">IFERROR(IF(AND(Q$4&lt;=$K55,Q$4+6&gt;=$I55),"■",""),"")</f>
        <v/>
      </c>
      <c r="R55" s="71" t="str">
        <f t="shared" si="50"/>
        <v/>
      </c>
      <c r="S55" s="71" t="str">
        <f t="shared" si="50"/>
        <v/>
      </c>
      <c r="T55" s="71" t="str">
        <f t="shared" si="50"/>
        <v/>
      </c>
      <c r="U55" s="71" t="str">
        <f t="shared" si="50"/>
        <v/>
      </c>
      <c r="V55" s="71" t="str">
        <f t="shared" si="50"/>
        <v/>
      </c>
      <c r="W55" s="71" t="str">
        <f t="shared" si="50"/>
        <v/>
      </c>
      <c r="X55" s="71" t="str">
        <f t="shared" si="50"/>
        <v/>
      </c>
      <c r="Y55" s="71" t="str">
        <f t="shared" si="50"/>
        <v/>
      </c>
      <c r="Z55" s="71" t="str">
        <f t="shared" si="50"/>
        <v/>
      </c>
      <c r="AA55" s="71" t="str">
        <f t="shared" si="50"/>
        <v/>
      </c>
      <c r="AB55" s="71" t="str">
        <f t="shared" si="50"/>
        <v/>
      </c>
      <c r="AC55" s="50"/>
      <c r="AD55" s="50"/>
      <c r="AE55" s="50"/>
    </row>
    <row r="56" ht="21" customHeight="1" spans="1:31">
      <c r="A56" s="59" t="s">
        <v>264</v>
      </c>
      <c r="B56" s="72"/>
      <c r="C56" s="60" t="s">
        <v>265</v>
      </c>
      <c r="D56" s="60" t="s">
        <v>266</v>
      </c>
      <c r="E56" s="60" t="s">
        <v>42</v>
      </c>
      <c r="F56" s="60" t="s">
        <v>43</v>
      </c>
      <c r="G56" s="60" t="s">
        <v>53</v>
      </c>
      <c r="H56" s="60" t="s">
        <v>193</v>
      </c>
      <c r="I56" s="69"/>
      <c r="J56" s="69"/>
      <c r="K56" s="69"/>
      <c r="L56" s="60" t="s">
        <v>251</v>
      </c>
      <c r="M56" s="60" t="s">
        <v>45</v>
      </c>
      <c r="N56" s="70">
        <v>0</v>
      </c>
      <c r="O56" s="60" t="s">
        <v>267</v>
      </c>
      <c r="P56" s="61"/>
      <c r="Q56" s="71" t="str">
        <f t="shared" ref="Q56:AB56" si="51">IFERROR(IF(AND(Q$4&lt;=$K56,Q$4+6&gt;=$I56),"■",""),"")</f>
        <v/>
      </c>
      <c r="R56" s="71" t="str">
        <f t="shared" si="51"/>
        <v/>
      </c>
      <c r="S56" s="71" t="str">
        <f t="shared" si="51"/>
        <v/>
      </c>
      <c r="T56" s="71" t="str">
        <f t="shared" si="51"/>
        <v/>
      </c>
      <c r="U56" s="71" t="str">
        <f t="shared" si="51"/>
        <v/>
      </c>
      <c r="V56" s="71" t="str">
        <f t="shared" si="51"/>
        <v/>
      </c>
      <c r="W56" s="71" t="str">
        <f t="shared" si="51"/>
        <v/>
      </c>
      <c r="X56" s="71" t="str">
        <f t="shared" si="51"/>
        <v/>
      </c>
      <c r="Y56" s="71" t="str">
        <f t="shared" si="51"/>
        <v/>
      </c>
      <c r="Z56" s="71" t="str">
        <f t="shared" si="51"/>
        <v/>
      </c>
      <c r="AA56" s="71" t="str">
        <f t="shared" si="51"/>
        <v/>
      </c>
      <c r="AB56" s="71" t="str">
        <f t="shared" si="51"/>
        <v/>
      </c>
      <c r="AC56" s="50"/>
      <c r="AD56" s="50"/>
      <c r="AE56" s="50"/>
    </row>
    <row r="57" ht="21" customHeight="1" spans="1:31">
      <c r="A57" s="59" t="s">
        <v>268</v>
      </c>
      <c r="B57" s="72"/>
      <c r="C57" s="60" t="s">
        <v>258</v>
      </c>
      <c r="D57" s="60" t="s">
        <v>269</v>
      </c>
      <c r="E57" s="60" t="s">
        <v>72</v>
      </c>
      <c r="F57" s="60" t="s">
        <v>43</v>
      </c>
      <c r="G57" s="60" t="s">
        <v>3</v>
      </c>
      <c r="H57" s="60" t="s">
        <v>53</v>
      </c>
      <c r="I57" s="69"/>
      <c r="J57" s="69"/>
      <c r="K57" s="69"/>
      <c r="L57" s="60" t="s">
        <v>270</v>
      </c>
      <c r="M57" s="60" t="s">
        <v>45</v>
      </c>
      <c r="N57" s="70">
        <v>0</v>
      </c>
      <c r="O57" s="60" t="s">
        <v>271</v>
      </c>
      <c r="P57" s="61"/>
      <c r="Q57" s="71" t="str">
        <f t="shared" ref="Q57:AB57" si="52">IFERROR(IF(AND(Q$4&lt;=$K57,Q$4+6&gt;=$I57),"■",""),"")</f>
        <v/>
      </c>
      <c r="R57" s="71" t="str">
        <f t="shared" si="52"/>
        <v/>
      </c>
      <c r="S57" s="71" t="str">
        <f t="shared" si="52"/>
        <v/>
      </c>
      <c r="T57" s="71" t="str">
        <f t="shared" si="52"/>
        <v/>
      </c>
      <c r="U57" s="71" t="str">
        <f t="shared" si="52"/>
        <v/>
      </c>
      <c r="V57" s="71" t="str">
        <f t="shared" si="52"/>
        <v/>
      </c>
      <c r="W57" s="71" t="str">
        <f t="shared" si="52"/>
        <v/>
      </c>
      <c r="X57" s="71" t="str">
        <f t="shared" si="52"/>
        <v/>
      </c>
      <c r="Y57" s="71" t="str">
        <f t="shared" si="52"/>
        <v/>
      </c>
      <c r="Z57" s="71" t="str">
        <f t="shared" si="52"/>
        <v/>
      </c>
      <c r="AA57" s="71" t="str">
        <f t="shared" si="52"/>
        <v/>
      </c>
      <c r="AB57" s="71" t="str">
        <f t="shared" si="52"/>
        <v/>
      </c>
      <c r="AC57" s="50"/>
      <c r="AD57" s="50"/>
      <c r="AE57" s="50"/>
    </row>
    <row r="58" ht="21" customHeight="1" spans="1:31">
      <c r="A58" s="59" t="s">
        <v>272</v>
      </c>
      <c r="B58" s="72"/>
      <c r="C58" s="60" t="s">
        <v>273</v>
      </c>
      <c r="D58" s="60" t="s">
        <v>274</v>
      </c>
      <c r="E58" s="60" t="s">
        <v>72</v>
      </c>
      <c r="F58" s="60" t="s">
        <v>43</v>
      </c>
      <c r="G58" s="60" t="s">
        <v>3</v>
      </c>
      <c r="H58" s="60" t="s">
        <v>275</v>
      </c>
      <c r="I58" s="69"/>
      <c r="J58" s="69"/>
      <c r="K58" s="69"/>
      <c r="L58" s="60" t="s">
        <v>268</v>
      </c>
      <c r="M58" s="60" t="s">
        <v>45</v>
      </c>
      <c r="N58" s="70">
        <v>0</v>
      </c>
      <c r="O58" s="60" t="s">
        <v>276</v>
      </c>
      <c r="P58" s="61"/>
      <c r="Q58" s="71" t="str">
        <f t="shared" ref="Q58:AB58" si="53">IFERROR(IF(AND(Q$4&lt;=$K58,Q$4+6&gt;=$I58),"■",""),"")</f>
        <v/>
      </c>
      <c r="R58" s="71" t="str">
        <f t="shared" si="53"/>
        <v/>
      </c>
      <c r="S58" s="71" t="str">
        <f t="shared" si="53"/>
        <v/>
      </c>
      <c r="T58" s="71" t="str">
        <f t="shared" si="53"/>
        <v/>
      </c>
      <c r="U58" s="71" t="str">
        <f t="shared" si="53"/>
        <v/>
      </c>
      <c r="V58" s="71" t="str">
        <f t="shared" si="53"/>
        <v/>
      </c>
      <c r="W58" s="71" t="str">
        <f t="shared" si="53"/>
        <v/>
      </c>
      <c r="X58" s="71" t="str">
        <f t="shared" si="53"/>
        <v/>
      </c>
      <c r="Y58" s="71" t="str">
        <f t="shared" si="53"/>
        <v/>
      </c>
      <c r="Z58" s="71" t="str">
        <f t="shared" si="53"/>
        <v/>
      </c>
      <c r="AA58" s="71" t="str">
        <f t="shared" si="53"/>
        <v/>
      </c>
      <c r="AB58" s="71" t="str">
        <f t="shared" si="53"/>
        <v/>
      </c>
      <c r="AC58" s="50"/>
      <c r="AD58" s="50"/>
      <c r="AE58" s="50"/>
    </row>
    <row r="59" ht="21" customHeight="1" spans="1:31">
      <c r="A59" s="59" t="s">
        <v>277</v>
      </c>
      <c r="B59" s="72"/>
      <c r="C59" s="60" t="s">
        <v>278</v>
      </c>
      <c r="D59" s="60" t="s">
        <v>279</v>
      </c>
      <c r="E59" s="60" t="s">
        <v>42</v>
      </c>
      <c r="F59" s="60" t="s">
        <v>43</v>
      </c>
      <c r="G59" s="60" t="s">
        <v>3</v>
      </c>
      <c r="H59" s="60" t="s">
        <v>280</v>
      </c>
      <c r="I59" s="69"/>
      <c r="J59" s="69"/>
      <c r="K59" s="69"/>
      <c r="L59" s="60" t="s">
        <v>272</v>
      </c>
      <c r="M59" s="60" t="s">
        <v>45</v>
      </c>
      <c r="N59" s="70">
        <v>0</v>
      </c>
      <c r="O59" s="60" t="s">
        <v>281</v>
      </c>
      <c r="P59" s="61"/>
      <c r="Q59" s="71" t="str">
        <f t="shared" ref="Q59:AB59" si="54">IFERROR(IF(AND(Q$4&lt;=$K59,Q$4+6&gt;=$I59),"■",""),"")</f>
        <v/>
      </c>
      <c r="R59" s="71" t="str">
        <f t="shared" si="54"/>
        <v/>
      </c>
      <c r="S59" s="71" t="str">
        <f t="shared" si="54"/>
        <v/>
      </c>
      <c r="T59" s="71" t="str">
        <f t="shared" si="54"/>
        <v/>
      </c>
      <c r="U59" s="71" t="str">
        <f t="shared" si="54"/>
        <v/>
      </c>
      <c r="V59" s="71" t="str">
        <f t="shared" si="54"/>
        <v/>
      </c>
      <c r="W59" s="71" t="str">
        <f t="shared" si="54"/>
        <v/>
      </c>
      <c r="X59" s="71" t="str">
        <f t="shared" si="54"/>
        <v/>
      </c>
      <c r="Y59" s="71" t="str">
        <f t="shared" si="54"/>
        <v/>
      </c>
      <c r="Z59" s="71" t="str">
        <f t="shared" si="54"/>
        <v/>
      </c>
      <c r="AA59" s="71" t="str">
        <f t="shared" si="54"/>
        <v/>
      </c>
      <c r="AB59" s="71" t="str">
        <f t="shared" si="54"/>
        <v/>
      </c>
      <c r="AC59" s="50"/>
      <c r="AD59" s="50"/>
      <c r="AE59" s="50"/>
    </row>
    <row r="60" ht="21" customHeight="1" spans="1:31">
      <c r="A60" s="77" t="s">
        <v>282</v>
      </c>
      <c r="B60" s="78"/>
      <c r="C60" s="79" t="s">
        <v>283</v>
      </c>
      <c r="D60" s="79" t="s">
        <v>284</v>
      </c>
      <c r="E60" s="79" t="s">
        <v>72</v>
      </c>
      <c r="F60" s="79" t="s">
        <v>43</v>
      </c>
      <c r="G60" s="79" t="s">
        <v>3</v>
      </c>
      <c r="H60" s="79" t="s">
        <v>53</v>
      </c>
      <c r="I60" s="80"/>
      <c r="J60" s="80"/>
      <c r="K60" s="80"/>
      <c r="L60" s="79" t="s">
        <v>277</v>
      </c>
      <c r="M60" s="79" t="s">
        <v>45</v>
      </c>
      <c r="N60" s="81">
        <v>0</v>
      </c>
      <c r="O60" s="79" t="s">
        <v>285</v>
      </c>
      <c r="P60" s="82"/>
      <c r="Q60" s="71" t="str">
        <f t="shared" ref="Q60:AB60" si="55">IFERROR(IF(AND(Q$4&lt;=$K60,Q$4+6&gt;=$I60),"■",""),"")</f>
        <v/>
      </c>
      <c r="R60" s="71" t="str">
        <f t="shared" si="55"/>
        <v/>
      </c>
      <c r="S60" s="71" t="str">
        <f t="shared" si="55"/>
        <v/>
      </c>
      <c r="T60" s="71" t="str">
        <f t="shared" si="55"/>
        <v/>
      </c>
      <c r="U60" s="71" t="str">
        <f t="shared" si="55"/>
        <v/>
      </c>
      <c r="V60" s="71" t="str">
        <f t="shared" si="55"/>
        <v/>
      </c>
      <c r="W60" s="71" t="str">
        <f t="shared" si="55"/>
        <v/>
      </c>
      <c r="X60" s="71" t="str">
        <f t="shared" si="55"/>
        <v/>
      </c>
      <c r="Y60" s="71" t="str">
        <f t="shared" si="55"/>
        <v/>
      </c>
      <c r="Z60" s="71" t="str">
        <f t="shared" si="55"/>
        <v/>
      </c>
      <c r="AA60" s="71" t="str">
        <f t="shared" si="55"/>
        <v/>
      </c>
      <c r="AB60" s="71" t="str">
        <f t="shared" si="55"/>
        <v/>
      </c>
      <c r="AC60" s="50"/>
      <c r="AD60" s="50"/>
      <c r="AE60" s="50"/>
    </row>
  </sheetData>
  <autoFilter xmlns:etc="http://www.wps.cn/officeDocument/2017/etCustomData" ref="A5:P60" etc:filterBottomFollowUsedRange="0">
    <extLst/>
  </autoFilter>
  <mergeCells count="21">
    <mergeCell ref="A1:AE1"/>
    <mergeCell ref="Q2:AB2"/>
    <mergeCell ref="B6:B13"/>
    <mergeCell ref="B14:B42"/>
    <mergeCell ref="B43:B47"/>
    <mergeCell ref="B48:B53"/>
    <mergeCell ref="B54:B60"/>
    <mergeCell ref="C6:C8"/>
    <mergeCell ref="C11:C13"/>
    <mergeCell ref="C14:C16"/>
    <mergeCell ref="C17:C19"/>
    <mergeCell ref="C20:C22"/>
    <mergeCell ref="C23:C26"/>
    <mergeCell ref="C27:C32"/>
    <mergeCell ref="C33:C37"/>
    <mergeCell ref="C38:C42"/>
    <mergeCell ref="C43:C44"/>
    <mergeCell ref="C45:C46"/>
    <mergeCell ref="C48:C49"/>
    <mergeCell ref="C50:C51"/>
    <mergeCell ref="C54:C55"/>
  </mergeCells>
  <conditionalFormatting sqref="E6:E60">
    <cfRule type="expression" dxfId="0" priority="5">
      <formula>E6="里程碑"</formula>
    </cfRule>
  </conditionalFormatting>
  <conditionalFormatting sqref="M6:M60">
    <cfRule type="expression" dxfId="1" priority="2">
      <formula>M6="已完成"</formula>
    </cfRule>
    <cfRule type="expression" dxfId="2" priority="3">
      <formula>M6="阻塞"</formula>
    </cfRule>
    <cfRule type="expression" dxfId="3" priority="4">
      <formula>M6="延期"</formula>
    </cfRule>
  </conditionalFormatting>
  <conditionalFormatting sqref="N6:N60">
    <cfRule type="dataBar" priority="1">
      <dataBar>
        <cfvo type="min"/>
        <cfvo type="max"/>
        <color rgb="FF2F5D8A"/>
      </dataBar>
      <extLst>
        <ext xmlns:x14="http://schemas.microsoft.com/office/spreadsheetml/2009/9/main" uri="{B025F937-C7B1-47D3-B67F-A62EFF666E3E}">
          <x14:id>{486afa79-1160-45b1-b923-f183df6cba91}</x14:id>
        </ext>
      </extLst>
    </cfRule>
  </conditionalFormatting>
  <dataValidations count="5">
    <dataValidation type="list" sqref="F3">
      <formula1>"新上线,旧系统替换,升级"</formula1>
    </dataValidation>
    <dataValidation type="list" sqref="E8 E6:E7 E9:E60">
      <formula1>"任务,持续任务,里程碑"</formula1>
    </dataValidation>
    <dataValidation type="list" sqref="F8 F6:F7 F9:F60">
      <formula1>"必做,按需,不适用"</formula1>
    </dataValidation>
    <dataValidation type="list" sqref="M8 M6:M7 M9:M60">
      <formula1>"未开始,进行中,已完成,阻塞,延期,不适用"</formula1>
    </dataValidation>
    <dataValidation type="decimal" operator="between" sqref="N8 N6:N7 N9:N60">
      <formula1>0</formula1>
      <formula2>1</formula2>
    </dataValidation>
  </dataValidations>
  <pageMargins left="0.25" right="0.25" top="0.5" bottom="0.5" header="0.2" footer="0.2"/>
  <pageSetup paperSize="1" scale="36" fitToHeight="0" orientation="landscape"/>
  <headerFooter>
    <oddFooter>&amp;L湖北数智病理医学检验有限公司&amp;C项目计划&amp;R第 &amp;P 页 / 共 &amp;N 页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6afa79-1160-45b1-b923-f183df6cba9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N6:N60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75B5"/>
    <pageSetUpPr fitToPage="1"/>
  </sheetPr>
  <dimension ref="A1:H10"/>
  <sheetViews>
    <sheetView showGridLines="0" workbookViewId="0">
      <pane ySplit="3" topLeftCell="A4" activePane="bottomLeft" state="frozen"/>
      <selection/>
      <selection pane="bottomLeft" activeCell="A1" sqref="A1:H1"/>
    </sheetView>
  </sheetViews>
  <sheetFormatPr defaultColWidth="9" defaultRowHeight="14.25" outlineLevelCol="7"/>
  <cols>
    <col min="1" max="1" width="16" customWidth="1"/>
    <col min="2" max="2" width="18" customWidth="1"/>
    <col min="3" max="5" width="30" customWidth="1"/>
    <col min="6" max="8" width="18" customWidth="1"/>
  </cols>
  <sheetData>
    <row r="1" ht="34" customHeight="1" spans="1:8">
      <c r="A1" s="16" t="s">
        <v>286</v>
      </c>
      <c r="B1" s="17"/>
      <c r="C1" s="17"/>
      <c r="D1" s="17"/>
      <c r="E1" s="17"/>
      <c r="F1" s="17"/>
      <c r="G1" s="17"/>
      <c r="H1" s="18"/>
    </row>
    <row r="2" ht="24" customHeight="1" spans="1:8">
      <c r="A2" s="19"/>
      <c r="B2" s="20"/>
      <c r="C2" s="20"/>
      <c r="D2" s="20"/>
      <c r="E2" s="20"/>
      <c r="F2" s="20"/>
      <c r="G2" s="20"/>
      <c r="H2" s="21"/>
    </row>
    <row r="3" ht="30" customHeight="1" spans="1:8">
      <c r="A3" s="22" t="s">
        <v>287</v>
      </c>
      <c r="B3" s="23" t="s">
        <v>23</v>
      </c>
      <c r="C3" s="23" t="s">
        <v>9</v>
      </c>
      <c r="D3" s="23" t="s">
        <v>288</v>
      </c>
      <c r="E3" s="23" t="s">
        <v>28</v>
      </c>
      <c r="F3" s="23" t="s">
        <v>289</v>
      </c>
      <c r="G3" s="23" t="s">
        <v>290</v>
      </c>
      <c r="H3" s="24" t="s">
        <v>34</v>
      </c>
    </row>
    <row r="4" ht="22" customHeight="1" spans="1:8">
      <c r="A4" s="25" t="s">
        <v>291</v>
      </c>
      <c r="B4" s="26" t="s">
        <v>39</v>
      </c>
      <c r="C4" s="26" t="s">
        <v>71</v>
      </c>
      <c r="D4" s="27">
        <f>项目实施计划!K12</f>
        <v>0</v>
      </c>
      <c r="E4" s="26" t="s">
        <v>3</v>
      </c>
      <c r="F4" s="26" t="s">
        <v>292</v>
      </c>
      <c r="G4" s="26" t="s">
        <v>293</v>
      </c>
      <c r="H4" s="28" t="s">
        <v>45</v>
      </c>
    </row>
    <row r="5" ht="22" customHeight="1" spans="1:8">
      <c r="A5" s="29" t="s">
        <v>294</v>
      </c>
      <c r="B5" s="30" t="s">
        <v>39</v>
      </c>
      <c r="C5" s="30" t="s">
        <v>76</v>
      </c>
      <c r="D5" s="27">
        <f>项目实施计划!K13</f>
        <v>0</v>
      </c>
      <c r="E5" s="30" t="s">
        <v>3</v>
      </c>
      <c r="F5" s="30" t="s">
        <v>295</v>
      </c>
      <c r="G5" s="30" t="s">
        <v>78</v>
      </c>
      <c r="H5" s="28" t="s">
        <v>45</v>
      </c>
    </row>
    <row r="6" ht="22" customHeight="1" spans="1:8">
      <c r="A6" s="25" t="s">
        <v>296</v>
      </c>
      <c r="B6" s="26" t="s">
        <v>203</v>
      </c>
      <c r="C6" s="26" t="s">
        <v>225</v>
      </c>
      <c r="D6" s="27">
        <f>项目实施计划!K47</f>
        <v>0</v>
      </c>
      <c r="E6" s="26" t="s">
        <v>297</v>
      </c>
      <c r="F6" s="26" t="s">
        <v>298</v>
      </c>
      <c r="G6" s="26" t="s">
        <v>226</v>
      </c>
      <c r="H6" s="28" t="s">
        <v>45</v>
      </c>
    </row>
    <row r="7" ht="22" customHeight="1" spans="1:8">
      <c r="A7" s="29" t="s">
        <v>299</v>
      </c>
      <c r="B7" s="30" t="s">
        <v>228</v>
      </c>
      <c r="C7" s="30" t="s">
        <v>245</v>
      </c>
      <c r="D7" s="27">
        <f>项目实施计划!K51</f>
        <v>0</v>
      </c>
      <c r="E7" s="30" t="s">
        <v>3</v>
      </c>
      <c r="F7" s="30" t="s">
        <v>300</v>
      </c>
      <c r="G7" s="30" t="s">
        <v>246</v>
      </c>
      <c r="H7" s="28" t="s">
        <v>45</v>
      </c>
    </row>
    <row r="8" ht="22" customHeight="1" spans="1:8">
      <c r="A8" s="25" t="s">
        <v>301</v>
      </c>
      <c r="B8" s="26" t="s">
        <v>257</v>
      </c>
      <c r="C8" s="26" t="s">
        <v>269</v>
      </c>
      <c r="D8" s="27">
        <f>项目实施计划!K57</f>
        <v>0</v>
      </c>
      <c r="E8" s="26" t="s">
        <v>3</v>
      </c>
      <c r="F8" s="26" t="s">
        <v>302</v>
      </c>
      <c r="G8" s="26" t="s">
        <v>271</v>
      </c>
      <c r="H8" s="28" t="s">
        <v>45</v>
      </c>
    </row>
    <row r="9" ht="22" customHeight="1" spans="1:8">
      <c r="A9" s="29" t="s">
        <v>303</v>
      </c>
      <c r="B9" s="30" t="s">
        <v>257</v>
      </c>
      <c r="C9" s="30" t="s">
        <v>274</v>
      </c>
      <c r="D9" s="27">
        <f>项目实施计划!K58</f>
        <v>0</v>
      </c>
      <c r="E9" s="30" t="s">
        <v>3</v>
      </c>
      <c r="F9" s="30" t="s">
        <v>304</v>
      </c>
      <c r="G9" s="30" t="s">
        <v>276</v>
      </c>
      <c r="H9" s="28" t="s">
        <v>45</v>
      </c>
    </row>
    <row r="10" ht="22" customHeight="1" spans="1:8">
      <c r="A10" s="31" t="s">
        <v>305</v>
      </c>
      <c r="B10" s="32" t="s">
        <v>257</v>
      </c>
      <c r="C10" s="32" t="s">
        <v>284</v>
      </c>
      <c r="D10" s="33">
        <f>项目实施计划!K60</f>
        <v>0</v>
      </c>
      <c r="E10" s="32" t="s">
        <v>3</v>
      </c>
      <c r="F10" s="32" t="s">
        <v>306</v>
      </c>
      <c r="G10" s="32" t="s">
        <v>285</v>
      </c>
      <c r="H10" s="34" t="s">
        <v>45</v>
      </c>
    </row>
  </sheetData>
  <autoFilter xmlns:etc="http://www.wps.cn/officeDocument/2017/etCustomData" ref="A3:H10" etc:filterBottomFollowUsedRange="0">
    <extLst/>
  </autoFilter>
  <mergeCells count="1">
    <mergeCell ref="A1:H1"/>
  </mergeCells>
  <conditionalFormatting sqref="H4:H10">
    <cfRule type="expression" dxfId="1" priority="1">
      <formula>H4="已完成"</formula>
    </cfRule>
  </conditionalFormatting>
  <dataValidations count="1">
    <dataValidation type="list" sqref="H4:H10">
      <formula1>"未开始,进行中,已完成,延期"</formula1>
    </dataValidation>
  </dataValidations>
  <pageMargins left="0.197222222222222" right="0.197222222222222" top="0.295833333333333" bottom="0.295833333333333" header="0.2" footer="0.2"/>
  <pageSetup paperSize="9" scale="57" fitToHeight="0" orientation="portrait"/>
  <headerFooter>
    <oddFooter>&amp;L湖北数智病理医学检验有限公司&amp;C项目计划&amp;R第 &amp;P 页 / 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75B5"/>
    <pageSetUpPr fitToPage="1"/>
  </sheetPr>
  <dimension ref="A1:C11"/>
  <sheetViews>
    <sheetView showGridLines="0" workbookViewId="0">
      <selection activeCell="A1" sqref="A1:C1"/>
    </sheetView>
  </sheetViews>
  <sheetFormatPr defaultColWidth="9" defaultRowHeight="14.25" outlineLevelCol="2"/>
  <cols>
    <col min="1" max="1" width="110" customWidth="1"/>
    <col min="2" max="2" width="20" customWidth="1"/>
    <col min="3" max="3" width="80" customWidth="1"/>
  </cols>
  <sheetData>
    <row r="1" ht="34" customHeight="1" spans="1:3">
      <c r="A1" s="1" t="s">
        <v>307</v>
      </c>
      <c r="B1" s="2"/>
      <c r="C1" s="3"/>
    </row>
    <row r="2" ht="10" customHeight="1" spans="1:3">
      <c r="A2" s="4"/>
      <c r="B2" s="5"/>
      <c r="C2" s="6"/>
    </row>
    <row r="3" ht="28" customHeight="1" spans="1:3">
      <c r="A3" s="7" t="s">
        <v>308</v>
      </c>
      <c r="B3" s="8" t="s">
        <v>309</v>
      </c>
      <c r="C3" s="9" t="s">
        <v>310</v>
      </c>
    </row>
    <row r="4" ht="28" customHeight="1" spans="1:3">
      <c r="A4" s="10" t="s">
        <v>311</v>
      </c>
      <c r="B4" s="11" t="s">
        <v>312</v>
      </c>
      <c r="C4" s="12" t="s">
        <v>313</v>
      </c>
    </row>
    <row r="5" ht="28" customHeight="1" spans="1:3">
      <c r="A5" s="7" t="s">
        <v>314</v>
      </c>
      <c r="B5" s="8" t="s">
        <v>315</v>
      </c>
      <c r="C5" s="9" t="s">
        <v>316</v>
      </c>
    </row>
    <row r="6" ht="28" customHeight="1" spans="1:3">
      <c r="A6" s="10" t="s">
        <v>317</v>
      </c>
      <c r="B6" s="11" t="s">
        <v>76</v>
      </c>
      <c r="C6" s="12" t="s">
        <v>318</v>
      </c>
    </row>
    <row r="7" ht="28" customHeight="1" spans="1:3">
      <c r="A7" s="7" t="s">
        <v>319</v>
      </c>
      <c r="B7" s="8" t="s">
        <v>320</v>
      </c>
      <c r="C7" s="9" t="s">
        <v>321</v>
      </c>
    </row>
    <row r="8" ht="28" customHeight="1" spans="1:3">
      <c r="A8" s="10" t="s">
        <v>322</v>
      </c>
      <c r="B8" s="11" t="s">
        <v>323</v>
      </c>
      <c r="C8" s="12" t="s">
        <v>324</v>
      </c>
    </row>
    <row r="9" ht="28" customHeight="1" spans="1:3">
      <c r="A9" s="7" t="s">
        <v>325</v>
      </c>
      <c r="B9" s="8" t="s">
        <v>163</v>
      </c>
      <c r="C9" s="9" t="s">
        <v>326</v>
      </c>
    </row>
    <row r="10" ht="28" customHeight="1" spans="1:3">
      <c r="A10" s="10" t="s">
        <v>327</v>
      </c>
      <c r="B10" s="11" t="s">
        <v>328</v>
      </c>
      <c r="C10" s="12" t="s">
        <v>329</v>
      </c>
    </row>
    <row r="11" ht="28" customHeight="1" spans="1:3">
      <c r="A11" s="13" t="s">
        <v>330</v>
      </c>
      <c r="B11" s="14" t="s">
        <v>331</v>
      </c>
      <c r="C11" s="15" t="s">
        <v>332</v>
      </c>
    </row>
  </sheetData>
  <autoFilter xmlns:etc="http://www.wps.cn/officeDocument/2017/etCustomData" ref="A1:A20" etc:filterBottomFollowUsedRange="0">
    <extLst/>
  </autoFilter>
  <mergeCells count="1">
    <mergeCell ref="A1:C1"/>
  </mergeCells>
  <pageMargins left="0.25" right="0.25" top="0.5" bottom="0.5" header="0.2" footer="0.2"/>
  <pageSetup paperSize="9" scale="48" orientation="portrait"/>
  <headerFooter>
    <oddFooter>&amp;L湖北数智病理医学检验有限公司&amp;C项目计划&amp;R第 &amp;P 页 / 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湖北数智病理医学检验有限公司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项目实施计划</vt:lpstr>
      <vt:lpstr>关键里程碑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湖北数智病理医学检验有限公司</dc:creator>
  <cp:lastModifiedBy>劍来！</cp:lastModifiedBy>
  <dcterms:created xsi:type="dcterms:W3CDTF">2026-08-19T07:20:00Z</dcterms:created>
  <dcterms:modified xsi:type="dcterms:W3CDTF">2026-08-25T01:23:02Z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346AAFF7C33244CEA6DF265F4391DFFF_13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