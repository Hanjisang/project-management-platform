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BaiduSyncdisk\项目管理\04_实施模板与套表\02 交付物管理\Phase5提交包\02_正式交付模板\03_试行验证\"/>
    </mc:Choice>
  </mc:AlternateContent>
  <xr:revisionPtr revIDLastSave="0" documentId="13_ncr:1_{E56B72BD-5EEC-48B2-831B-01665F2C30A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汇总页" sheetId="1" r:id="rId1"/>
    <sheet name="上线准备检查" sheetId="2" r:id="rId2"/>
    <sheet name="业务流程核验" sheetId="3" r:id="rId3"/>
    <sheet name="填写规范及约束" sheetId="4" r:id="rId4"/>
  </sheets>
  <definedNames>
    <definedName name="_xlnm.Print_Area" localSheetId="0">汇总页!$A$1:$H$18</definedName>
    <definedName name="_xlnm.Print_Area" localSheetId="1">上线准备检查!$A$1:$N$65</definedName>
    <definedName name="_xlnm.Print_Area" localSheetId="3">填写规范及约束!$A$1:$H$14</definedName>
    <definedName name="_xlnm.Print_Area" localSheetId="2">业务流程核验!$A$1:$N$69</definedName>
    <definedName name="_xlnm.Print_Titles" localSheetId="0">汇总页!$1:$5</definedName>
    <definedName name="_xlnm.Print_Titles" localSheetId="1">上线准备检查!$1:$6</definedName>
    <definedName name="_xlnm.Print_Titles" localSheetId="3">填写规范及约束!$1:$4</definedName>
    <definedName name="_xlnm.Print_Titles" localSheetId="2">业务流程核验!$1:$6</definedName>
  </definedNames>
  <calcPr calcId="191029"/>
</workbook>
</file>

<file path=xl/calcChain.xml><?xml version="1.0" encoding="utf-8"?>
<calcChain xmlns="http://schemas.openxmlformats.org/spreadsheetml/2006/main">
  <c r="N2" i="3" l="1"/>
  <c r="L2" i="3"/>
  <c r="J2" i="3"/>
  <c r="H2" i="3"/>
  <c r="F2" i="3"/>
  <c r="D2" i="3"/>
  <c r="B2" i="3"/>
  <c r="N2" i="2"/>
  <c r="L2" i="2"/>
  <c r="J2" i="2"/>
  <c r="H2" i="2"/>
  <c r="F2" i="2"/>
  <c r="D2" i="2"/>
  <c r="B2" i="2"/>
  <c r="B11" i="1"/>
  <c r="B10" i="1"/>
  <c r="B13" i="1" s="1"/>
  <c r="B9" i="1"/>
  <c r="B8" i="1"/>
  <c r="H7" i="1"/>
  <c r="G7" i="1"/>
  <c r="F7" i="1"/>
  <c r="B7" i="1"/>
  <c r="B12" i="1" s="1"/>
  <c r="H6" i="1"/>
  <c r="G6" i="1"/>
  <c r="F6" i="1"/>
  <c r="B6" i="1"/>
</calcChain>
</file>

<file path=xl/sharedStrings.xml><?xml version="1.0" encoding="utf-8"?>
<sst xmlns="http://schemas.openxmlformats.org/spreadsheetml/2006/main" count="1426" uniqueCount="933">
  <si>
    <t>上线条件评估表｜PIS系统上线前实施核验清单｜标准模板｜版本：V1.0</t>
  </si>
  <si>
    <t>项目名称</t>
  </si>
  <si>
    <t>【填写项目名称】</t>
  </si>
  <si>
    <t>系统版本</t>
  </si>
  <si>
    <t>【填写系统版本】</t>
  </si>
  <si>
    <t>计划上线日期</t>
  </si>
  <si>
    <t>【YYYY-MM-DD】</t>
  </si>
  <si>
    <t>现场负责人</t>
  </si>
  <si>
    <t>【填写现场负责人】</t>
  </si>
  <si>
    <t>汇总说明</t>
  </si>
  <si>
    <t>本页根据122项核验结果自动汇总；最终上线结论须由项目经理和甲方确认。</t>
  </si>
  <si>
    <t>总体统计</t>
  </si>
  <si>
    <t>统计结果</t>
  </si>
  <si>
    <t>判定说明</t>
  </si>
  <si>
    <t>核验部分</t>
  </si>
  <si>
    <t>总项数</t>
  </si>
  <si>
    <t>已完成</t>
  </si>
  <si>
    <t>异常项</t>
  </si>
  <si>
    <t>核验项总数</t>
  </si>
  <si>
    <t>上线准备+业务流程</t>
  </si>
  <si>
    <t>上线准备检查</t>
  </si>
  <si>
    <t>已完成数量</t>
  </si>
  <si>
    <t>结论不等于未核验</t>
  </si>
  <si>
    <t>业务流程核验</t>
  </si>
  <si>
    <t>通过数量</t>
  </si>
  <si>
    <t>结论等于通过</t>
  </si>
  <si>
    <t>异常项数量</t>
  </si>
  <si>
    <t>不通过+阻塞+待确认</t>
  </si>
  <si>
    <t>颜色说明</t>
  </si>
  <si>
    <t>A项未完成/异常</t>
  </si>
  <si>
    <t>必须为0；不适用不计入</t>
  </si>
  <si>
    <t>红色</t>
  </si>
  <si>
    <t>A项或异常</t>
  </si>
  <si>
    <t>原则上不得放行</t>
  </si>
  <si>
    <t>B项未完成/阻塞</t>
  </si>
  <si>
    <t>必须为0</t>
  </si>
  <si>
    <t>橙色</t>
  </si>
  <si>
    <t>B项或待确认</t>
  </si>
  <si>
    <t>上线前处理</t>
  </si>
  <si>
    <t>整体完成率</t>
  </si>
  <si>
    <t>已完成/总数</t>
  </si>
  <si>
    <t>灰色</t>
  </si>
  <si>
    <t>C项或不适用</t>
  </si>
  <si>
    <t>抽查/优化/范围外</t>
  </si>
  <si>
    <t>当前执行状态</t>
  </si>
  <si>
    <t>自动判断</t>
  </si>
  <si>
    <t>黄色</t>
  </si>
  <si>
    <t>现场填写区</t>
  </si>
  <si>
    <t>由实施工程师填写</t>
  </si>
  <si>
    <t>正式上线说明</t>
  </si>
  <si>
    <t>由项目经理和医院确认</t>
  </si>
  <si>
    <t>本清单完成不等于自动批准上线</t>
  </si>
  <si>
    <t>上线评估结论</t>
  </si>
  <si>
    <t>□具备上线条件　□有条件具备上线条件　□暂不具备上线条件（依据核验结果据实勾选）</t>
  </si>
  <si>
    <t>甲方确认意见</t>
  </si>
  <si>
    <t>【填写】</t>
  </si>
  <si>
    <t>乙方确认意见</t>
  </si>
  <si>
    <t>甲方签字</t>
  </si>
  <si>
    <t>【签字】</t>
  </si>
  <si>
    <t>乙方签字</t>
  </si>
  <si>
    <t>日期</t>
  </si>
  <si>
    <t>上线准备检查｜标准模板｜版本：V1.0</t>
  </si>
  <si>
    <t>A阻断</t>
  </si>
  <si>
    <t>B必做</t>
  </si>
  <si>
    <t>C抽查</t>
  </si>
  <si>
    <t>执行状态</t>
  </si>
  <si>
    <t>【填写说明】黄色区域为项目现场填写区；所有结论和证据必须基于实际核验结果。</t>
  </si>
  <si>
    <t>A=本项目范围内的上线阻断条件；B=上线前必须完成；C=按项目范围抽查或作为优化项。不在本次范围时选择“不适用”，并在实际结果中写明确认依据。</t>
  </si>
  <si>
    <t>填写要求：实际结果写明操作入口、业务编号、数量和可核验结果；执行人及日期填写“【姓名】/【YYYY-MM-DD】”；证据路径填写实际归档位置。</t>
  </si>
  <si>
    <t>核验编号</t>
  </si>
  <si>
    <t>执行顺序</t>
  </si>
  <si>
    <t>核验等级</t>
  </si>
  <si>
    <t>主执行岗位</t>
  </si>
  <si>
    <t>核验事项</t>
  </si>
  <si>
    <t>去哪里操作</t>
  </si>
  <si>
    <t>操作步骤（含配合岗位）</t>
  </si>
  <si>
    <t>通过标准</t>
  </si>
  <si>
    <t>证据要求</t>
  </si>
  <si>
    <t>实际结果</t>
  </si>
  <si>
    <t>核验结论</t>
  </si>
  <si>
    <t>问题编号/异常说明</t>
  </si>
  <si>
    <t>执行人及日期</t>
  </si>
  <si>
    <t>证据路径</t>
  </si>
  <si>
    <t>ZB-001</t>
  </si>
  <si>
    <t>01 项目确认</t>
  </si>
  <si>
    <t>A-上线阻断</t>
  </si>
  <si>
    <t>项目经理</t>
  </si>
  <si>
    <t>确认生产版本和访问地址</t>
  </si>
  <si>
    <t>生产登录页</t>
  </si>
  <si>
    <t>配合岗位：实施工程师。1.打开生产地址；2.记录页面版本；3.与发布单核对</t>
  </si>
  <si>
    <t>地址可访问，版本与批准发布单一致</t>
  </si>
  <si>
    <t>登录页截图、发布单</t>
  </si>
  <si>
    <t>未核验</t>
  </si>
  <si>
    <t>ZB-002</t>
  </si>
  <si>
    <t>确认本次上线范围</t>
  </si>
  <si>
    <t>项目及范围页</t>
  </si>
  <si>
    <t>配合岗位：实施工程师。1.逐项与医院确认范围；2.将每项状态改为非待确认；3.记录不在范围原因</t>
  </si>
  <si>
    <t>所有范围项均有明确状态和责任方</t>
  </si>
  <si>
    <t>双方范围确认记录</t>
  </si>
  <si>
    <t>ZB-003</t>
  </si>
  <si>
    <t>C-抽查优化</t>
  </si>
  <si>
    <t>建立现场联系人和升级路径</t>
  </si>
  <si>
    <t>项目联络表</t>
  </si>
  <si>
    <t>1.核对病理科、信息科、接口、设备、研发和运维联系人；2.测试电话或群组；3.明确夜间升级人</t>
  </si>
  <si>
    <t>关键岗位均有姓名、电话和替补人员</t>
  </si>
  <si>
    <t>联系人表</t>
  </si>
  <si>
    <t>ZB-004</t>
  </si>
  <si>
    <t>确认上线窗口和变更冻结</t>
  </si>
  <si>
    <t>上线会议记录</t>
  </si>
  <si>
    <t>配合岗位：医院信息科。1.确认开始和结束时间；2.确认冻结时点；3.确认允许变更的审批人</t>
  </si>
  <si>
    <t>上线窗口、冻结范围和审批人明确</t>
  </si>
  <si>
    <t>会议纪要</t>
  </si>
  <si>
    <t>HJ-001</t>
  </si>
  <si>
    <t>02 环境与安全</t>
  </si>
  <si>
    <t>B-上线必做</t>
  </si>
  <si>
    <t>安装工程师</t>
  </si>
  <si>
    <t>核对生产服务器资源</t>
  </si>
  <si>
    <t>服务器管理平台</t>
  </si>
  <si>
    <t>配合岗位：医院信息科。1.核对主、备、备份服务器；2.查看CPU、内存、系统盘和数据盘；3.与部署方案比对</t>
  </si>
  <si>
    <t>服务器数量和资源满足批准配置</t>
  </si>
  <si>
    <t>服务器清单、资源截图</t>
  </si>
  <si>
    <t>HJ-002</t>
  </si>
  <si>
    <t>核对服务器软件版本（安装工程师执行）</t>
  </si>
  <si>
    <t>服务器命令行；普通实施人员只核对记录，不自行修改</t>
  </si>
  <si>
    <t>1.由安装工程师打开服务器终端；2.逐项查看操作系统和基础软件版本；3.与批准的部署清单核对；4.把差异记录到问题表</t>
  </si>
  <si>
    <t>版本与部署方案或批准变更一致</t>
  </si>
  <si>
    <t>版本命令截图</t>
  </si>
  <si>
    <t>HJ-003</t>
  </si>
  <si>
    <t>检查网络、端口、DNS和时间同步</t>
  </si>
  <si>
    <t>服务器终端/浏览器</t>
  </si>
  <si>
    <t>配合岗位：医院信息科。1.从终端访问生产地址；2.检查所需端口；3.检查DNS解析；4.核对服务器时间</t>
  </si>
  <si>
    <t>网络连通，端口开放，时间误差在医院允许范围内</t>
  </si>
  <si>
    <t>测试记录、时间截图</t>
  </si>
  <si>
    <t>HJ-004</t>
  </si>
  <si>
    <t>实施工程师</t>
  </si>
  <si>
    <t>检查生产访问地址和证书</t>
  </si>
  <si>
    <t>浏览器</t>
  </si>
  <si>
    <t>配合岗位：医院信息科。1.使用科室终端打开地址；2.检查证书；3.登录并退出；4.关闭浏览器重新访问</t>
  </si>
  <si>
    <t>无证书告警，登录退出正常，地址唯一明确</t>
  </si>
  <si>
    <t>浏览器截图</t>
  </si>
  <si>
    <t>HJ-005</t>
  </si>
  <si>
    <t>确认PIS各项后台服务均正常运行</t>
  </si>
  <si>
    <t>服务监控或容器管理页面；由安装工程师操作</t>
  </si>
  <si>
    <t>1.查看PIS前端、后端、数据库、缓存、文件存储和访问代理的运行状态；2.确认没有反复重启；3.查看最近错误记录；4.保存状态截图</t>
  </si>
  <si>
    <t>所有必须服务运行且无持续重启或严重错误</t>
  </si>
  <si>
    <t>容器列表、日志截图</t>
  </si>
  <si>
    <t>HJ-006</t>
  </si>
  <si>
    <t>按批准方案演练主备切换</t>
  </si>
  <si>
    <t>主备切换平台；普通实施人员不得自行切换</t>
  </si>
  <si>
    <t>配合岗位：医院信息科。1.由安装工程师记录当前主节点；2.经医院信息科确认后执行切换；3.持续打开PIS页面；4.记录恢复时间；5.确认测试数据没有丢失</t>
  </si>
  <si>
    <t>VIP切换成功，业务在批准时限内恢复，数据无丢失</t>
  </si>
  <si>
    <t>切换时间、服务截图、演练记录</t>
  </si>
  <si>
    <t>HJ-007</t>
  </si>
  <si>
    <t>数据库工程师</t>
  </si>
  <si>
    <t>确认数据库可用并完成一条测试记录读写</t>
  </si>
  <si>
    <t>数据库监控由数据库工程师操作；实施人员在PIS页面验证</t>
  </si>
  <si>
    <t>配合岗位：实施工程师。1.数据库工程师确认数据库状态正常；2.实施人员在PIS中新建批准的测试记录；3.查询并修改该记录；4.确认操作日志能够查到</t>
  </si>
  <si>
    <t>数据库连接正常，新增、查询、修改成功且有日志</t>
  </si>
  <si>
    <t>数据库状态和业务截图</t>
  </si>
  <si>
    <t>HJ-008</t>
  </si>
  <si>
    <t>检查登录后是否会反复退出或丢失会话</t>
  </si>
  <si>
    <t>PIS登录页面和缓存监控；缓存监控由安装工程师查看</t>
  </si>
  <si>
    <t>1.登录PIS；2.刷新页面并切换工作站；3.持续操作5分钟；4.确认没有反复退出；5.如有异常由安装工程师检查缓存服务</t>
  </si>
  <si>
    <t>登录会话稳定，无反复退出或缓存报错</t>
  </si>
  <si>
    <t>页面和监控截图</t>
  </si>
  <si>
    <t>HJ-009</t>
  </si>
  <si>
    <t>检查对象存储上传和下载</t>
  </si>
  <si>
    <t>附件/图片上传页面</t>
  </si>
  <si>
    <t>配合岗位：安装工程师。1.上传测试图片或附件；2.刷新页面；3.下载并打开；4.核对文件</t>
  </si>
  <si>
    <t>上传、查询、下载正常，文件内容一致</t>
  </si>
  <si>
    <t>上传下载截图、文件校验记录</t>
  </si>
  <si>
    <t>HJ-010</t>
  </si>
  <si>
    <t>运维</t>
  </si>
  <si>
    <t>检查监控和告警</t>
  </si>
  <si>
    <t>监控平台</t>
  </si>
  <si>
    <t>配合岗位：医院信息科。1.查看CPU、内存、磁盘、数据库连接和网络；2.触发批准的测试告警；3.确认接收人</t>
  </si>
  <si>
    <t>关键指标可见，测试告警能通知责任人</t>
  </si>
  <si>
    <t>监控截图、告警记录</t>
  </si>
  <si>
    <t>HJ-011</t>
  </si>
  <si>
    <t>检查应用和操作日志</t>
  </si>
  <si>
    <t>日志查询/服务器日志</t>
  </si>
  <si>
    <t>配合岗位：运维。1.执行登录、新增、修改；2.按时间和用户查询日志；3.核对操作内容</t>
  </si>
  <si>
    <t>关键操作可追溯到用户、时间和对象</t>
  </si>
  <si>
    <t>日志截图</t>
  </si>
  <si>
    <t>HJ-012</t>
  </si>
  <si>
    <t>检查磁盘和存储容量</t>
  </si>
  <si>
    <t>服务器和存储平台</t>
  </si>
  <si>
    <t>配合岗位：医院信息科。1.查看系统盘、数据盘、对象存储容量；2.确认挂载；3.确认告警阈值；4.记录可用容量</t>
  </si>
  <si>
    <t>容量满足本次上线和近期业务，告警已配置</t>
  </si>
  <si>
    <t>容量截图、容量评估记录</t>
  </si>
  <si>
    <t>AQ-001</t>
  </si>
  <si>
    <t>确认数据库和附件已经自动备份</t>
  </si>
  <si>
    <t>备份平台；由数据库或运维工程师操作</t>
  </si>
  <si>
    <t>配合岗位：运维。1.查看最近一次数据库备份；2.查看附件或图片备份；3.核对执行时间和结果；4.确认失败时会通知责任人；5.保存记录</t>
  </si>
  <si>
    <t>备份按计划成功，文件可访问且责任人明确</t>
  </si>
  <si>
    <t>备份日志、文件列表</t>
  </si>
  <si>
    <t>AQ-002</t>
  </si>
  <si>
    <t>用备份文件完成一次恢复演练</t>
  </si>
  <si>
    <t>隔离的恢复环境；不得直接覆盖生产数据</t>
  </si>
  <si>
    <t>配合岗位：实施工程师。1.由数据库工程师选择最近备份；2.恢复到隔离环境；3.打开抽样病例和附件；4.记录开始、结束时间；5.确认恢复内容完整</t>
  </si>
  <si>
    <t>恢复成功，抽查数据一致，耗时满足批准目标</t>
  </si>
  <si>
    <t>恢复记录、抽查截图、耗时</t>
  </si>
  <si>
    <t>AQ-003</t>
  </si>
  <si>
    <t>医院信息科</t>
  </si>
  <si>
    <t>检查管理员和数据库最小权限</t>
  </si>
  <si>
    <t>系统管理/数据库</t>
  </si>
  <si>
    <t>配合岗位：实施工程师。1.核对管理员数量；2.普通用户尝试访问管理功能；3.检查数据库账号权限</t>
  </si>
  <si>
    <t>普通用户不能越权，管理员账号有责任人</t>
  </si>
  <si>
    <t>权限截图、账号清单</t>
  </si>
  <si>
    <t>AQ-004</t>
  </si>
  <si>
    <t>检查敏感操作审计</t>
  </si>
  <si>
    <t>病例/报告管理、审计日志</t>
  </si>
  <si>
    <t>配合岗位：医院信息科。1.执行病理号修改或报告更正测试；2.查询审计日志；3.核对前后值和操作者</t>
  </si>
  <si>
    <t>敏感操作受控且完整留痕</t>
  </si>
  <si>
    <t>操作与日志截图</t>
  </si>
  <si>
    <t>AQ-005</t>
  </si>
  <si>
    <t>确认停机应急流程</t>
  </si>
  <si>
    <t>现场工作站</t>
  </si>
  <si>
    <t>配合岗位：病理科负责人。1.模拟系统不可用；2.按纸质或离线方案登记；3.恢复后补录；4.核对编号和责任人</t>
  </si>
  <si>
    <t>现场人员知道如何继续业务，补录规则明确</t>
  </si>
  <si>
    <t>演练记录、纸质样张</t>
  </si>
  <si>
    <t>AQ-006</t>
  </si>
  <si>
    <t>验证冰冻业务网络中断应急</t>
  </si>
  <si>
    <t>冰冻工作站/应急表单</t>
  </si>
  <si>
    <t>配合岗位：病理科负责人。1.模拟网络中断；2.记录接收和诊断时间；3.完成结果通知；4.恢复后补录并关联</t>
  </si>
  <si>
    <t>冰冻结果不中断，补录后记录完整且不重复</t>
  </si>
  <si>
    <t>演练记录、补录截图</t>
  </si>
  <si>
    <t>AQ-007</t>
  </si>
  <si>
    <t>检查上线回退包和配置备份</t>
  </si>
  <si>
    <t>发布目录/镜像仓库</t>
  </si>
  <si>
    <t>1.记录当前版本；2.备份配置；3.确认上一版本镜像；4.核对回退命令和负责人</t>
  </si>
  <si>
    <t>在批准时限内可执行回退，所需文件齐全</t>
  </si>
  <si>
    <t>回退清单、文件校验记录</t>
  </si>
  <si>
    <t>PZ-001</t>
  </si>
  <si>
    <t>03 配置与权限</t>
  </si>
  <si>
    <t>系统管理员</t>
  </si>
  <si>
    <t>核对院区、科室和组织</t>
  </si>
  <si>
    <t>系统管理-组织机构</t>
  </si>
  <si>
    <t>配合岗位：医院信息科。1.逐级展开院区和科室；2.核对名称、编码和启用状态；3.用业务页面下拉框验证</t>
  </si>
  <si>
    <t>上线涉及的组织完整、唯一且可选择</t>
  </si>
  <si>
    <t>配置截图、确认清单</t>
  </si>
  <si>
    <t>PZ-002</t>
  </si>
  <si>
    <t>核对上线人员账号</t>
  </si>
  <si>
    <t>系统管理-人员账号</t>
  </si>
  <si>
    <t>配合岗位：科室负责人。1.逐人查询姓名、工号、科室和状态；2.尝试登录；3.核对停用人员</t>
  </si>
  <si>
    <t>每名上线人员有唯一可用账号，停用人员不能登录</t>
  </si>
  <si>
    <t>账号清单、登录记录</t>
  </si>
  <si>
    <t>PZ-003</t>
  </si>
  <si>
    <t>按岗位核对角色权限</t>
  </si>
  <si>
    <t>各工作站和系统管理</t>
  </si>
  <si>
    <t>配合岗位：对应岗位代表。1.分别登录岗位账号；2.核对菜单；3.执行允许操作；4.尝试禁止操作和跨科室查询</t>
  </si>
  <si>
    <t>允许操作可用，禁止操作不可见或提示无权限</t>
  </si>
  <si>
    <t>权限矩阵、页面截图</t>
  </si>
  <si>
    <t>PZ-004</t>
  </si>
  <si>
    <t>核对工作站和默认工作站</t>
  </si>
  <si>
    <t>工作站切换/登录页</t>
  </si>
  <si>
    <t>配合岗位：实施工程师。1.登录每个岗位；2.查看默认工作站；3.切换到授权工作站；4.退出重登</t>
  </si>
  <si>
    <t>默认工作站正确，只能切换到授权范围</t>
  </si>
  <si>
    <t>账号-工作站矩阵</t>
  </si>
  <si>
    <t>PZ-005</t>
  </si>
  <si>
    <t>核对病理号和业务编号规则</t>
  </si>
  <si>
    <t>编号配置/登记页</t>
  </si>
  <si>
    <t>配合岗位：病理科负责人。1.查看常规、冰冻、细胞、分子等规则；2.各创建一例；3.检查唯一性和连续性；4.测试重号</t>
  </si>
  <si>
    <t>编号符合医院规则，无重号，业务类型可区分</t>
  </si>
  <si>
    <t>编号配置截图、测试编号清单</t>
  </si>
  <si>
    <t>PZ-006</t>
  </si>
  <si>
    <t>核对标本和固定方式字典</t>
  </si>
  <si>
    <t>基础数据/申请登记页面</t>
  </si>
  <si>
    <t>配合岗位：病理科负责人。1.查询标本类型、部位、固定方式；2.在登记页面选择；3.检查停用项</t>
  </si>
  <si>
    <t>字典与现场一致，无关键空项和重复项</t>
  </si>
  <si>
    <t>字典清单、页面截图</t>
  </si>
  <si>
    <t>PZ-007</t>
  </si>
  <si>
    <t>核对医嘱和特检项目字典</t>
  </si>
  <si>
    <t>基础数据/医嘱页面</t>
  </si>
  <si>
    <t>配合岗位：病理科负责人。1.查询免疫组化、特殊染色、分子等项目；2.下达测试医嘱；3.核对价格或编码范围（如适用）</t>
  </si>
  <si>
    <t>上线项目可选择且流向正确，不在范围项目已停用或标识</t>
  </si>
  <si>
    <t>项目清单、测试截图</t>
  </si>
  <si>
    <t>PZ-008</t>
  </si>
  <si>
    <t>核对诊断词和报告基础数据</t>
  </si>
  <si>
    <t>诊断工作站</t>
  </si>
  <si>
    <t>配合岗位：病理科负责人。1.查询诊断词、常用语和结构化字段；2.录入测试诊断；3.保存并重新打开</t>
  </si>
  <si>
    <t>诊断内容可选择、保存和再次显示，关键字段完整</t>
  </si>
  <si>
    <t>诊断页面截图</t>
  </si>
  <si>
    <t>PZ-009</t>
  </si>
  <si>
    <t>核对报告、标签和回执模板</t>
  </si>
  <si>
    <t>模板配置和打印预览</t>
  </si>
  <si>
    <t>配合岗位：病理科负责人。1.逐类选择模板；2.预览；3.打印；4.核对医院名称、患者信息、编号、签名和分页</t>
  </si>
  <si>
    <t>模板类型正确，内容完整，打印清晰且无错位</t>
  </si>
  <si>
    <t>各类打印样张、确认签字</t>
  </si>
  <si>
    <t>PZ-010</t>
  </si>
  <si>
    <t>接口工程师</t>
  </si>
  <si>
    <t>核对HIS与PIS字段和代码对应关系</t>
  </si>
  <si>
    <t>接口映射表；由接口工程师维护</t>
  </si>
  <si>
    <t>配合岗位：医院信息科。1.抽查科室、人员、医嘱、标本类型等代码；2.分别查看HIS原值和PIS接收值；3.确认含义一致；4.差异项登记问题，不在现场直接猜测修改</t>
  </si>
  <si>
    <t>关键字段和值域一致，无错误默认值</t>
  </si>
  <si>
    <t>映射表、接口报文和页面截图</t>
  </si>
  <si>
    <t>SB-001</t>
  </si>
  <si>
    <t>04 设备与接口</t>
  </si>
  <si>
    <t>验证标本标签打印机</t>
  </si>
  <si>
    <t>登记工作站/标签打印机</t>
  </si>
  <si>
    <t>配合岗位：登记人员。1.登记测试病例；2.打印单张和批量标签；3.核对内容；4.扫描条码</t>
  </si>
  <si>
    <t>标签清晰，编号唯一，扫描能定位正确病例</t>
  </si>
  <si>
    <t>标签样张、扫描截图</t>
  </si>
  <si>
    <t>SB-002</t>
  </si>
  <si>
    <t>验证扫码枪</t>
  </si>
  <si>
    <t>登记/取材/脱水/切片工作站</t>
  </si>
  <si>
    <t>配合岗位：对应岗位代表。1.逐类扫描；2.检查光标位置和回车；3.扫描错误条码；4.扫描重复条码</t>
  </si>
  <si>
    <t>正确条码定位对象，错误或重复条码被提示</t>
  </si>
  <si>
    <t>各岗位扫码记录</t>
  </si>
  <si>
    <t>SB-003</t>
  </si>
  <si>
    <t>验证玻片打印机或书写仪</t>
  </si>
  <si>
    <t>切片/医嘱工作站</t>
  </si>
  <si>
    <t>配合岗位：技术人员。1.生成玻片任务；2.打印玻片；3.核对病理号、块号、序号；4.扫描或查询关联</t>
  </si>
  <si>
    <t>玻片标识清晰且与病例、蜡块、医嘱唯一关联</t>
  </si>
  <si>
    <t>玻片样张、关联截图</t>
  </si>
  <si>
    <t>SB-004</t>
  </si>
  <si>
    <t>验证报告打印和自助打印</t>
  </si>
  <si>
    <t>报告打印/自助打印机</t>
  </si>
  <si>
    <t>配合岗位：发放人员、医院信息科。1.打印正式报告；2.核对内容和签名；3.如有自助机则执行取报告；4.核对打印状态回写</t>
  </si>
  <si>
    <t>报告完整清晰，权限正确，自助状态可回写</t>
  </si>
  <si>
    <t>报告样张、状态截图</t>
  </si>
  <si>
    <t>SB-005</t>
  </si>
  <si>
    <t>验证大体标本拍摄台</t>
  </si>
  <si>
    <t>取材工作站/拍摄台</t>
  </si>
  <si>
    <t>配合岗位：取材人员。1.扫码进入病例；2.拍照；3.添加标注；4.保存并重新打开</t>
  </si>
  <si>
    <t>图片与病例唯一关联，标注可见，重新打开正常</t>
  </si>
  <si>
    <t>图片页面截图</t>
  </si>
  <si>
    <t>SB-006</t>
  </si>
  <si>
    <t>验证数字切片扫描和关联</t>
  </si>
  <si>
    <t>扫描仪/数字切片管理</t>
  </si>
  <si>
    <t>配合岗位：扫描人员。1.扫描测试玻片；2.等待文件生成；3.按玻片号关联病例；4.从病例打开</t>
  </si>
  <si>
    <t>切片关联正确，可在批准时限内打开且无错片</t>
  </si>
  <si>
    <t>扫描记录、关联和打开截图</t>
  </si>
  <si>
    <t>SB-007</t>
  </si>
  <si>
    <t>验证CA证书和签名设备</t>
  </si>
  <si>
    <t>诊断签发页面/CA客户端</t>
  </si>
  <si>
    <t>配合岗位：医院信息科、病理医生。1.登录医生账号；2.签发测试报告；3.查看签名结果；4.用无权账号尝试签发</t>
  </si>
  <si>
    <t>授权医生可签发，签名可验证，无权账号被拒绝</t>
  </si>
  <si>
    <t>签名报告、CA日志</t>
  </si>
  <si>
    <t>JK-001</t>
  </si>
  <si>
    <t>验证HIS申请单接收</t>
  </si>
  <si>
    <t>HIS/PIS登记工作站</t>
  </si>
  <si>
    <t>配合岗位：登记人员。1.在HIS开申请；2.记录申请号；3.在PIS查询；4.核对患者、科室、医生、标本和医嘱</t>
  </si>
  <si>
    <t>申请进入PIS且关键字段与HIS一致</t>
  </si>
  <si>
    <t>双方截图、接口报文</t>
  </si>
  <si>
    <t>JK-002</t>
  </si>
  <si>
    <t>重复发送同一申请，确认PIS不会生成两条病例</t>
  </si>
  <si>
    <t>HIS测试页面和接口日志；由接口工程师执行</t>
  </si>
  <si>
    <t>1.记录原申请号；2.重复发送同一申请；3.在PIS按申请号查询；4.确认只存在一条记录；5.保存发送和查询证据</t>
  </si>
  <si>
    <t>不生成第二条业务记录，接口返回明确处理结果</t>
  </si>
  <si>
    <t>查询截图、接口日志</t>
  </si>
  <si>
    <t>JK-003</t>
  </si>
  <si>
    <t>验证人员、科室和医嘱基础数据同步</t>
  </si>
  <si>
    <t>接口平台/系统管理</t>
  </si>
  <si>
    <t>配合岗位：系统管理员。1.在来源系统新增或修改测试数据；2.执行同步；3.在PIS查询；4.检查停用或变更</t>
  </si>
  <si>
    <t>编码、名称、状态和映射正确，不产生重复项</t>
  </si>
  <si>
    <t>同步报文、PIS截图</t>
  </si>
  <si>
    <t>JK-004</t>
  </si>
  <si>
    <t>验证报告签发回传</t>
  </si>
  <si>
    <t>PIS/HIS或集成平台</t>
  </si>
  <si>
    <t>配合岗位：病理医生。1.签发报告；2.查看PIS发送状态；3.在接收方查询；4.核对报告内容和状态</t>
  </si>
  <si>
    <t>接收方获得正确版本，双方状态一致</t>
  </si>
  <si>
    <t>JK-005</t>
  </si>
  <si>
    <t>验证CA签名接口</t>
  </si>
  <si>
    <t>PIS/CA平台</t>
  </si>
  <si>
    <t>配合岗位：病理医生。1.发起签名；2.完成认证；3.获取签名文档；4.核对签名状态和文件</t>
  </si>
  <si>
    <t>签名成功，文档可验证，PIS状态一致</t>
  </si>
  <si>
    <t>CA日志、签名文档</t>
  </si>
  <si>
    <t>JK-006</t>
  </si>
  <si>
    <t>验证危急值发送和处理结果回写</t>
  </si>
  <si>
    <t>PIS/临床接收系统</t>
  </si>
  <si>
    <t>配合岗位：病理医生。1.在PIS发送危急值；2.在临床侧接收并处理；3.回写处理意见；4.在PIS查看</t>
  </si>
  <si>
    <t>发送、接收、处理和回写形成闭环，时间和人员可追溯</t>
  </si>
  <si>
    <t>双方截图、接口日志</t>
  </si>
  <si>
    <t>JK-007</t>
  </si>
  <si>
    <t>验证自助打印状态回写</t>
  </si>
  <si>
    <t>PIS/自助打印系统</t>
  </si>
  <si>
    <t>配合岗位：发放人员。1.在自助设备打印；2.记录时间；3.在PIS查询打印状态；4.尝试重复打印规则</t>
  </si>
  <si>
    <t>PIS获得正确打印状态，重复打印符合医院规则</t>
  </si>
  <si>
    <t>设备和PIS截图、接口日志</t>
  </si>
  <si>
    <t>JK-008</t>
  </si>
  <si>
    <t>验证数字切片影像关联</t>
  </si>
  <si>
    <t>扫描仪/PIS数字切片</t>
  </si>
  <si>
    <t>配合岗位：扫描人员。1.完成扫描；2.发送或落盘影像信息；3.按病理号/切片号关联；4.打开核对</t>
  </si>
  <si>
    <t>影像与病例唯一关联，无错片，文件可打开</t>
  </si>
  <si>
    <t>扫描日志、关联截图</t>
  </si>
  <si>
    <t>JK-009</t>
  </si>
  <si>
    <t>验证省市平台数据上报</t>
  </si>
  <si>
    <t>数据采集前置服务/平台</t>
  </si>
  <si>
    <t>配合岗位：数据管理员。1.生成测试批次；2.执行校验；3.上报；4.查看平台接收；5.核对数量</t>
  </si>
  <si>
    <t>上报成功，平台接收数量和PIS批次一致</t>
  </si>
  <si>
    <t>批次记录、平台回执、对账表</t>
  </si>
  <si>
    <t>JK-010</t>
  </si>
  <si>
    <t>模拟接口失败后恢复，确认能重试并通知责任人</t>
  </si>
  <si>
    <t>接口监控和告警平台；须经医院批准后模拟</t>
  </si>
  <si>
    <t>配合岗位：运维。1.记录测试消息；2.按批准方式制造一次失败；3.确认失败被记录并通知责任人；4.恢复接口；5.确认消息补发成功且没有重复数据</t>
  </si>
  <si>
    <t>失败有记录和告警，恢复后成功且不重复</t>
  </si>
  <si>
    <t>错误日志、告警、重试结果</t>
  </si>
  <si>
    <t>PX-001</t>
  </si>
  <si>
    <t>07 培训与交接</t>
  </si>
  <si>
    <t>培训讲师</t>
  </si>
  <si>
    <t>核对培训人员和签到</t>
  </si>
  <si>
    <t>培训现场</t>
  </si>
  <si>
    <t>配合岗位：科室负责人。1.按登记、技术、医生、审核、归档、管理员分组；2.核对到场；3.签到</t>
  </si>
  <si>
    <t>所有关键岗位至少有已培训人员和替补人员</t>
  </si>
  <si>
    <t>签到表、照片（按院方规定）</t>
  </si>
  <si>
    <t>PX-002</t>
  </si>
  <si>
    <t>完成各岗位上机实操</t>
  </si>
  <si>
    <t>各工作站</t>
  </si>
  <si>
    <t>配合岗位：对应岗位人员。1.让岗位人员独立完成核心任务；2.观察错误；3.纠正后再次操作；4.记录结果</t>
  </si>
  <si>
    <t>关键岗位人员不依赖讲师即可完成本岗位操作</t>
  </si>
  <si>
    <t>实操记录、考核结果</t>
  </si>
  <si>
    <t>PX-003</t>
  </si>
  <si>
    <t>交付操作手册和应急卡</t>
  </si>
  <si>
    <t>项目资料目录</t>
  </si>
  <si>
    <t>配合岗位：项目经理。1.核对手册版本；2.确认包含日常操作和异常处理；3.交给指定接收人；4.签收</t>
  </si>
  <si>
    <t>现场可随时查阅，接收人和版本明确</t>
  </si>
  <si>
    <t>资料清单、签收记录</t>
  </si>
  <si>
    <t>PX-004</t>
  </si>
  <si>
    <t>确认上线值守安排</t>
  </si>
  <si>
    <t>上线值守表</t>
  </si>
  <si>
    <t>1.列出实施、研发、接口、设备、数据库和院方人员；2.确认时间和联系方式；3.明确升级路径</t>
  </si>
  <si>
    <t>整个上线窗口有人负责，每类故障有明确升级人</t>
  </si>
  <si>
    <t>值守表、通知记录</t>
  </si>
  <si>
    <t>QH-001</t>
  </si>
  <si>
    <t>08 上线切换</t>
  </si>
  <si>
    <t>完成连续试运行</t>
  </si>
  <si>
    <t>生产环境</t>
  </si>
  <si>
    <t>配合岗位：实施工程师、病理科负责人。1.按批准时长运行；2.每日核对任务、报告、接口和问题；3.记录高峰情况；4.形成总结</t>
  </si>
  <si>
    <t>试运行期间无未解决P0/P1，核心业务稳定</t>
  </si>
  <si>
    <t>日报、问题清单、试运行总结</t>
  </si>
  <si>
    <t>QH-002</t>
  </si>
  <si>
    <t>确认新旧系统业务边界</t>
  </si>
  <si>
    <t>切换会议/系统查询</t>
  </si>
  <si>
    <t>配合岗位：病理科负责人、医院信息科。1.确定哪些病例留在旧系统；2.确定哪些进入新系统；3.确认查询和补录方式；4.通知所有岗位</t>
  </si>
  <si>
    <t>切换时点和病例边界唯一明确，不重复、不遗漏</t>
  </si>
  <si>
    <t>切换方案、通知记录</t>
  </si>
  <si>
    <t>QH-003</t>
  </si>
  <si>
    <t>执行上线前数据核对</t>
  </si>
  <si>
    <t>PIS和来源系统</t>
  </si>
  <si>
    <t>配合岗位：数据库工程师、病理科负责人。1.核对基础数据数量；2.抽查记录；3.核对在途病例；4.核对报告和附件；5.记录差异</t>
  </si>
  <si>
    <t>关键数据数量和抽查内容一致，差异已处理</t>
  </si>
  <si>
    <t>对账表、抽查记录</t>
  </si>
  <si>
    <t>QH-004</t>
  </si>
  <si>
    <t>执行上线指挥确认</t>
  </si>
  <si>
    <t>上线会议</t>
  </si>
  <si>
    <t>配合岗位：医院负责人、承建方负责人。1.查看上线结论；2.逐项确认未关闭问题；3.确认回退条件；4.双方签署意见；5.发布上线指令</t>
  </si>
  <si>
    <t>系统显示具备上线条件，双方明确同意上线</t>
  </si>
  <si>
    <t>上线确认单、会议纪要</t>
  </si>
  <si>
    <t>QH-005</t>
  </si>
  <si>
    <t>完成项目资料交接</t>
  </si>
  <si>
    <t>配合岗位：运维、医院信息科。1.核对部署、配置、接口、账号、备份、培训、问题和手册资料；2.指定保管人；3.签收</t>
  </si>
  <si>
    <t>资料完整、版本一致、存放位置和责任人明确</t>
  </si>
  <si>
    <t>交付清单、签收单</t>
  </si>
  <si>
    <t>业务流程核验｜标准模板｜版本：V1.0</t>
  </si>
  <si>
    <t>DJ-001</t>
  </si>
  <si>
    <t>05 核心业务</t>
  </si>
  <si>
    <t>临床申请人员</t>
  </si>
  <si>
    <t>HIS创建常规病理申请</t>
  </si>
  <si>
    <t>HIS病理申请页面</t>
  </si>
  <si>
    <t>配合岗位：接口工程师。1.选择正确申请类型；2.填写标本部位、名称、数量和临床信息；3.提交；4.记录申请号</t>
  </si>
  <si>
    <t>HIS提示提交成功，生成唯一申请号</t>
  </si>
  <si>
    <t>HIS申请截图</t>
  </si>
  <si>
    <t>DJ-002</t>
  </si>
  <si>
    <t>登记人员</t>
  </si>
  <si>
    <t>在PIS接收HIS申请</t>
  </si>
  <si>
    <t>登记工作站-待接收</t>
  </si>
  <si>
    <t>1.输入或扫描申请号；2.打开申请；3.核对姓名、住院号/门诊号、科室、医生、标本和医嘱</t>
  </si>
  <si>
    <t>PIS只显示一条申请，关键字段与HIS一致</t>
  </si>
  <si>
    <t>PIS与HIS对照截图</t>
  </si>
  <si>
    <t>DJ-003</t>
  </si>
  <si>
    <t>执行标本查对并接收</t>
  </si>
  <si>
    <t>登记工作站-接收</t>
  </si>
  <si>
    <t>配合岗位：标本接收人员。1.核对患者标识；2.核对标本名称、数量、容器和固定；3.记录接收时间；4.点击接收</t>
  </si>
  <si>
    <t>病例进入待登记或已接收状态，接收人和时间可查询</t>
  </si>
  <si>
    <t>接收页面截图</t>
  </si>
  <si>
    <t>DJ-004</t>
  </si>
  <si>
    <t>拒收不合格标本</t>
  </si>
  <si>
    <t>登记工作站-拒收</t>
  </si>
  <si>
    <t>配合岗位：标本接收人员。1.选择拒收；2.填写明确原因；3.确认；4.查询拒收记录和通知结果</t>
  </si>
  <si>
    <t>系统禁止继续登记，拒收原因、人员和时间可追溯</t>
  </si>
  <si>
    <t>拒收记录截图</t>
  </si>
  <si>
    <t>DJ-005</t>
  </si>
  <si>
    <t>手工创建或补录申请</t>
  </si>
  <si>
    <t>登记工作站-新建登记</t>
  </si>
  <si>
    <t>1.选择允许的业务类型；2.录入患者、临床和标本信息；3.保存；4.查询病例</t>
  </si>
  <si>
    <t>生成唯一申请/病例记录，必填项缺失时不能提交</t>
  </si>
  <si>
    <t>新建和查询截图</t>
  </si>
  <si>
    <t>DJ-006</t>
  </si>
  <si>
    <t>生成病理号并打印标本标签</t>
  </si>
  <si>
    <t>1.完成登记；2.记录生成的病理号；3.打印标签；4.核对患者标识、病理号、标本；5.扫描标签</t>
  </si>
  <si>
    <t>病理号唯一，标签清晰，扫描后打开正确病例</t>
  </si>
  <si>
    <t>DJ-007</t>
  </si>
  <si>
    <t>登记完成并移交取材</t>
  </si>
  <si>
    <t>登记工作站-移交/取材待接收</t>
  </si>
  <si>
    <t>配合岗位：取材人员。1.选择取材接收人或任务包；2.确认移交；3.取材人员刷新待接收列表；4.核对数量</t>
  </si>
  <si>
    <t>登记端显示已移交，取材端出现唯一任务，双方数量一致</t>
  </si>
  <si>
    <t>双方页面截图</t>
  </si>
  <si>
    <t>QC-001</t>
  </si>
  <si>
    <t>取材人员</t>
  </si>
  <si>
    <t>接收取材任务</t>
  </si>
  <si>
    <t>取材工作站-待接收</t>
  </si>
  <si>
    <t>1.扫描标本标签；2.核对患者、标本和移交人；3.点击接收</t>
  </si>
  <si>
    <t>病例进入取材中状态，接收人和时间可追溯</t>
  </si>
  <si>
    <t>接收截图</t>
  </si>
  <si>
    <t>QC-002</t>
  </si>
  <si>
    <t>取材医生</t>
  </si>
  <si>
    <t>扫码进入病例并拍摄大体图</t>
  </si>
  <si>
    <t>配合岗位：记录人员。1.扫描标本；2.确认双屏病例一致；3.拍摄大体图；4.添加必要标注；5.保存</t>
  </si>
  <si>
    <t>照片与病例唯一关联，重新打开可查看原图和标注</t>
  </si>
  <si>
    <t>照片页面截图</t>
  </si>
  <si>
    <t>QC-003</t>
  </si>
  <si>
    <t>记录取材明细和蜡块数量</t>
  </si>
  <si>
    <t>取材工作站-取材记录</t>
  </si>
  <si>
    <t>配合岗位：记录人员。1.逐项录入标本描述；2.记录材块部位和数量；3.生成蜡块编号；4.核对总数</t>
  </si>
  <si>
    <t>取材记录完整，蜡块编号与数量一致</t>
  </si>
  <si>
    <t>取材记录截图</t>
  </si>
  <si>
    <t>QC-004</t>
  </si>
  <si>
    <t>完成双人核对</t>
  </si>
  <si>
    <t>取材工作站-核对</t>
  </si>
  <si>
    <t>配合岗位：记录人员。1.取材人核对标本、材块和编号；2.记录人再次核对；3.分别确认</t>
  </si>
  <si>
    <t>系统保存两名核对人员和时间，核对后内容一致</t>
  </si>
  <si>
    <t>双签确认截图</t>
  </si>
  <si>
    <t>QC-005</t>
  </si>
  <si>
    <t>扫描包埋盒并移交脱水</t>
  </si>
  <si>
    <t>取材工作站/脱水待接收</t>
  </si>
  <si>
    <t>配合岗位：脱水人员。1.逐一扫描包埋盒；2.核对扫描数与记录数；3.完成取材；4.移交脱水；5.脱水端核对任务</t>
  </si>
  <si>
    <t>每个蜡块与病例关联，脱水端任务和数量一致</t>
  </si>
  <si>
    <t>扫描数、双方任务截图</t>
  </si>
  <si>
    <t>TS-001</t>
  </si>
  <si>
    <t>脱水人员</t>
  </si>
  <si>
    <t>接收并核对脱水任务</t>
  </si>
  <si>
    <t>脱水工作站-待接收</t>
  </si>
  <si>
    <t>1.查看移交人和数量；2.批量扫描包埋盒；3.核对实物；4.接收</t>
  </si>
  <si>
    <t>系统数量与实物一致，任务进入待脱水</t>
  </si>
  <si>
    <t>接收和数量截图</t>
  </si>
  <si>
    <t>TS-002</t>
  </si>
  <si>
    <t>选择脱水程序并开始</t>
  </si>
  <si>
    <t>脱水工作站/脱水机</t>
  </si>
  <si>
    <t>1.选择对应脱水机和程序；2.核对开始和预计结束时间；3.开始；4.查询运行状态</t>
  </si>
  <si>
    <t>任务与设备、程序正确关联，开始时间和操作者可查询</t>
  </si>
  <si>
    <t>程序和运行截图</t>
  </si>
  <si>
    <t>TS-003</t>
  </si>
  <si>
    <t>记录脱水异常</t>
  </si>
  <si>
    <t>脱水工作站-异常记录</t>
  </si>
  <si>
    <t>1.选择异常类型；2.填写原因和处理；3.保存；4.重新查询</t>
  </si>
  <si>
    <t>异常、处理人、时间和处理结果可追溯</t>
  </si>
  <si>
    <t>异常记录截图</t>
  </si>
  <si>
    <t>TS-004</t>
  </si>
  <si>
    <t>完成脱水并移交包埋</t>
  </si>
  <si>
    <t>脱水工作站/包埋待接收</t>
  </si>
  <si>
    <t>配合岗位：包埋人员。1.检查程序完成状态；2.核对材块数；3.选择包埋接收人；4.完成移交；5.包埋端确认</t>
  </si>
  <si>
    <t>包埋端收到唯一任务，数量、移交人和时间一致</t>
  </si>
  <si>
    <t>双方任务截图</t>
  </si>
  <si>
    <t>BM-001</t>
  </si>
  <si>
    <t>包埋人员</t>
  </si>
  <si>
    <t>接收包埋任务并扫描蜡块</t>
  </si>
  <si>
    <t>包埋工作站</t>
  </si>
  <si>
    <t>1.查看待接收任务；2.扫描蜡块；3.核对病例和材块明细；4.接收</t>
  </si>
  <si>
    <t>系统与实物数量一致，任务进入包埋中</t>
  </si>
  <si>
    <t>接收和扫描截图</t>
  </si>
  <si>
    <t>BM-002</t>
  </si>
  <si>
    <t>标记并处理异常蜡块</t>
  </si>
  <si>
    <t>包埋工作站-异常</t>
  </si>
  <si>
    <t>1.选择异常蜡块；2.选择异常类型；3.填写处理；4.退回或保存备注</t>
  </si>
  <si>
    <t>异常蜡块不能直接进入下一环节，处理记录可查询</t>
  </si>
  <si>
    <t>BM-003</t>
  </si>
  <si>
    <t>完成包埋并移交切片</t>
  </si>
  <si>
    <t>包埋工作站/切片待接收</t>
  </si>
  <si>
    <t>配合岗位：切片人员。1.核对完成数量；2.点击完成；3.移交切片；4.切片端刷新并核对</t>
  </si>
  <si>
    <t>切片端收到任务，蜡块数量和编号一致</t>
  </si>
  <si>
    <t>QP-001</t>
  </si>
  <si>
    <t>切片人员</t>
  </si>
  <si>
    <t>接收切片任务</t>
  </si>
  <si>
    <t>切片工作站-待接收</t>
  </si>
  <si>
    <t>1.扫描蜡块；2.核对病例、块号和数量；3.接收任务</t>
  </si>
  <si>
    <t>正确任务进入切片中，接收人和时间可查询</t>
  </si>
  <si>
    <t>QP-002</t>
  </si>
  <si>
    <t>生成并打印玻片标识</t>
  </si>
  <si>
    <t>切片工作站/玻片打印机</t>
  </si>
  <si>
    <t>1.生成玻片任务；2.打印；3.核对病理号、块号和片号；4.检查清晰度</t>
  </si>
  <si>
    <t>玻片标识唯一、清晰，并与病例及蜡块关联</t>
  </si>
  <si>
    <t>玻片样张、页面截图</t>
  </si>
  <si>
    <t>QP-003</t>
  </si>
  <si>
    <t>记录切片完成和异常</t>
  </si>
  <si>
    <t>切片工作站</t>
  </si>
  <si>
    <t>1.扫描或选择完成；2.录入人员和时间；3.如有异常填写备注；4.保存</t>
  </si>
  <si>
    <t>完成数量正确，异常和操作者可追溯</t>
  </si>
  <si>
    <t>完成记录截图</t>
  </si>
  <si>
    <t>QP-004</t>
  </si>
  <si>
    <t>制片人员</t>
  </si>
  <si>
    <t>制片核对并移交诊断或扫描</t>
  </si>
  <si>
    <t>制片工作站</t>
  </si>
  <si>
    <t>1.批量扫描玻片；2.核对数量和质量；3.人工核验时填写原因；4.完成并移交</t>
  </si>
  <si>
    <t>玻片进入正确后续环节，数量和责任人可查询</t>
  </si>
  <si>
    <t>核对和移交截图</t>
  </si>
  <si>
    <t>ZD-001</t>
  </si>
  <si>
    <t>病理医生</t>
  </si>
  <si>
    <t>医生接收待诊断病例</t>
  </si>
  <si>
    <t>诊断工作站-待诊断</t>
  </si>
  <si>
    <t>1.打开待诊断列表；2.选择病例；3.核对患者、标本、蜡块和玻片；4.接诊</t>
  </si>
  <si>
    <t>病例资料完整且属于医生授权范围，状态变为诊断中</t>
  </si>
  <si>
    <t>接诊截图</t>
  </si>
  <si>
    <t>ZD-002</t>
  </si>
  <si>
    <t>查看实体或数字切片关联</t>
  </si>
  <si>
    <t>诊断工作站-切片</t>
  </si>
  <si>
    <t>1.核对玻片号；2.打开数字切片（如启用）；3.与病例和标本核对；4.记录异常</t>
  </si>
  <si>
    <t>切片与病例唯一对应，图像可正常打开</t>
  </si>
  <si>
    <t>切片关联截图</t>
  </si>
  <si>
    <t>ZD-003</t>
  </si>
  <si>
    <t>录入并保存诊断报告</t>
  </si>
  <si>
    <t>诊断工作站-报告编辑</t>
  </si>
  <si>
    <t>1.选择正确模板；2.填写大体、镜下和诊断；3.保存草稿；4.退出后重新打开</t>
  </si>
  <si>
    <t>所有内容保存完整，模板和病例类型匹配</t>
  </si>
  <si>
    <t>保存前后截图</t>
  </si>
  <si>
    <t>ZD-004</t>
  </si>
  <si>
    <t>下达技术或特检医嘱</t>
  </si>
  <si>
    <t>诊断工作站-医嘱</t>
  </si>
  <si>
    <t>1.选择重切/深切/免疫组化/分子等项目；2.填写要求；3.提交；4.在执行工作站查询</t>
  </si>
  <si>
    <t>生成唯一医嘱和条码，执行端收到正确任务</t>
  </si>
  <si>
    <t>医嘱和执行端截图</t>
  </si>
  <si>
    <t>ZD-005</t>
  </si>
  <si>
    <t>提交报告审核</t>
  </si>
  <si>
    <t>诊断工作站-提交审核</t>
  </si>
  <si>
    <t>1.检查必填项；2.点击提交；3.在审核人员列表查询；4.检查医生端状态</t>
  </si>
  <si>
    <t>报告进入待审核，提交人和时间可查询，提交后按权限限制修改</t>
  </si>
  <si>
    <t>ZD-006</t>
  </si>
  <si>
    <t>审核人员</t>
  </si>
  <si>
    <t>审核通过或退回报告</t>
  </si>
  <si>
    <t>审核工作站</t>
  </si>
  <si>
    <t>1.打开报告；2.核对病例和诊断内容；3.执行退回并填写原因；4.医生修改后再次提交；5.最终审核通过</t>
  </si>
  <si>
    <t>退回原因可见，修改留痕，最终状态为审核通过</t>
  </si>
  <si>
    <t>退回、修改、审核截图</t>
  </si>
  <si>
    <t>ZD-007</t>
  </si>
  <si>
    <t>授权病理医生</t>
  </si>
  <si>
    <t>签发报告</t>
  </si>
  <si>
    <t>报告签发页面/CA</t>
  </si>
  <si>
    <t>配合岗位：审核人。1.打开审核通过报告；2.执行签发；3.完成CA或系统认证；4.检查PDF/OFD和状态</t>
  </si>
  <si>
    <t>报告生成正式版本，签名可验证，签发人和时间正确</t>
  </si>
  <si>
    <t>签名报告、状态截图</t>
  </si>
  <si>
    <t>ZD-008</t>
  </si>
  <si>
    <t>发放人员</t>
  </si>
  <si>
    <t>报告回传和打印发放</t>
  </si>
  <si>
    <t>PIS/HIS/打印设备</t>
  </si>
  <si>
    <t>配合岗位：接口工程师。1.查看回传状态；2.在HIS核对；3.打印报告；4.核对内容；5.记录发放状态</t>
  </si>
  <si>
    <t>HIS、PIS、打印件内容和版本一致，发放状态可追溯</t>
  </si>
  <si>
    <t>双方截图、报告样张</t>
  </si>
  <si>
    <t>ZD-009</t>
  </si>
  <si>
    <t>补充或更正已签发报告</t>
  </si>
  <si>
    <t>报告更正/补充页面</t>
  </si>
  <si>
    <t>配合岗位：审核人。1.发起补充或更正；2.填写原因；3.重新审核签发；4.在HIS核对最新版本；5.查看历史版本</t>
  </si>
  <si>
    <t>新旧版本可追溯，接收方获得正确最新版本，原因和人员完整</t>
  </si>
  <si>
    <t>版本记录、双方截图</t>
  </si>
  <si>
    <t>BD-001</t>
  </si>
  <si>
    <t>06 扩展业务</t>
  </si>
  <si>
    <t>登记冰冻预约</t>
  </si>
  <si>
    <t>冰冻登记页面</t>
  </si>
  <si>
    <t>1.扫描或录入申请；2.填写手术时间、部位、冰冻类型和传染病标识；3.保存预约</t>
  </si>
  <si>
    <t>生成冰冻预约，关键时间和信息完整</t>
  </si>
  <si>
    <t>预约截图</t>
  </si>
  <si>
    <t>BD-002</t>
  </si>
  <si>
    <t>冰冻接收人员</t>
  </si>
  <si>
    <t>接收冰冻标本并记录时间</t>
  </si>
  <si>
    <t>冰冻工作站-接收</t>
  </si>
  <si>
    <t>1.扫描标本；2.核对患者和部位；3.记录到达和接收时间；4.确认接收</t>
  </si>
  <si>
    <t>病例进入冰冻处理中，关键时间可追溯</t>
  </si>
  <si>
    <t>接收和时间截图</t>
  </si>
  <si>
    <t>BD-003</t>
  </si>
  <si>
    <t>冰冻取材</t>
  </si>
  <si>
    <t>完成冰冻取材和制片移交</t>
  </si>
  <si>
    <t>冰冻取材/制片工作站</t>
  </si>
  <si>
    <t>配合岗位：制片人员。1.记录取材描述和照片；2.生成冰冻编号；3.移交制片；4.完成玻片并核对</t>
  </si>
  <si>
    <t>取材、玻片和时间记录完整，任务进入冰冻诊断</t>
  </si>
  <si>
    <t>过程截图、玻片样张</t>
  </si>
  <si>
    <t>BD-004</t>
  </si>
  <si>
    <t>完成冰冻诊断、签发和临床回报</t>
  </si>
  <si>
    <t>冰冻诊断/报告回传</t>
  </si>
  <si>
    <t>配合岗位：接口工程师。1.接诊；2.录入诊断；3.审核或签发；4.回传或电话通知；5.记录通知对象和时间</t>
  </si>
  <si>
    <t>在医院规定时限内完成，临床收到结果，通知记录可追溯</t>
  </si>
  <si>
    <t>报告、回传、时间记录</t>
  </si>
  <si>
    <t>BD-005</t>
  </si>
  <si>
    <t>验证冰冻多次追加送检</t>
  </si>
  <si>
    <t>冰冻各工作站</t>
  </si>
  <si>
    <t>配合岗位：取材、医生。1.追加第二份标本；2.核对编号和部位；3.完成取材制片；4.检查报告关联</t>
  </si>
  <si>
    <t>追加标本不覆盖原记录，编号、时间和结果分别可追溯</t>
  </si>
  <si>
    <t>追加流程截图</t>
  </si>
  <si>
    <t>BD-006</t>
  </si>
  <si>
    <t>关联冰冻与石蜡结果</t>
  </si>
  <si>
    <t>诊断/质控页面</t>
  </si>
  <si>
    <t>配合岗位：质控人员。1.打开冰冻病例；2.查找对应石蜡结果；3.核对关联；4.查看对比记录</t>
  </si>
  <si>
    <t>冰冻和石蜡结果正确关联并可用于质控</t>
  </si>
  <si>
    <t>关联截图</t>
  </si>
  <si>
    <t>XB-001</t>
  </si>
  <si>
    <t>登记细胞病理申请和标本</t>
  </si>
  <si>
    <t>登记工作站-细胞病理</t>
  </si>
  <si>
    <t>1.选择细胞病理类型；2.核对标本类型、制片方式和临床信息；3.登记；4.打印标签</t>
  </si>
  <si>
    <t>进入细胞病理任务，编号和模板正确</t>
  </si>
  <si>
    <t>登记和标签截图</t>
  </si>
  <si>
    <t>XB-002</t>
  </si>
  <si>
    <t>细胞技术人员</t>
  </si>
  <si>
    <t>完成细胞制片和核对</t>
  </si>
  <si>
    <t>细胞制片工作站</t>
  </si>
  <si>
    <t>1.接收任务；2.记录制片方式；3.打印玻片标识；4.完成制片并核对数量</t>
  </si>
  <si>
    <t>玻片与病例唯一关联，制片方式和人员可追溯</t>
  </si>
  <si>
    <t>制片截图、玻片样张</t>
  </si>
  <si>
    <t>XB-003</t>
  </si>
  <si>
    <t>细胞病理医生</t>
  </si>
  <si>
    <t>完成细胞诊断和报告</t>
  </si>
  <si>
    <t>诊断工作站-细胞报告</t>
  </si>
  <si>
    <t>配合岗位：审核人。1.选择细胞报告模板；2.录入诊断；3.审核签发；4.回传或打印</t>
  </si>
  <si>
    <t>报告模板、诊断、签名和回传均符合细胞业务规则</t>
  </si>
  <si>
    <t>报告样张、双方截图</t>
  </si>
  <si>
    <t>FZ-001</t>
  </si>
  <si>
    <t>下达分子/免疫组化/特殊染色医嘱</t>
  </si>
  <si>
    <t>诊断工作站-特检医嘱</t>
  </si>
  <si>
    <t>1.选择正确项目；2.选择蜡块或切片；3.填写要求；4.提交</t>
  </si>
  <si>
    <t>生成唯一医嘱，项目、材料和执行科室正确</t>
  </si>
  <si>
    <t>医嘱截图</t>
  </si>
  <si>
    <t>FZ-002</t>
  </si>
  <si>
    <t>特检执行人员</t>
  </si>
  <si>
    <t>接收医嘱并打印标签</t>
  </si>
  <si>
    <t>特检工作站/标签设备</t>
  </si>
  <si>
    <t>1.查询待执行医嘱；2.核对病例和项目；3.接收；4.打印标签</t>
  </si>
  <si>
    <t>执行端收到正确任务，标签与医嘱和材料唯一关联</t>
  </si>
  <si>
    <t>任务截图、标签样张</t>
  </si>
  <si>
    <t>FZ-003</t>
  </si>
  <si>
    <t>记录执行过程和结果</t>
  </si>
  <si>
    <t>特检工作站</t>
  </si>
  <si>
    <t>1.记录开始；2.填写执行信息；3.上传或录入结果；4.完成</t>
  </si>
  <si>
    <t>医嘱状态、人员、时间和结果完整，可被诊断医生查看</t>
  </si>
  <si>
    <t>执行和结果截图</t>
  </si>
  <si>
    <t>FZ-004</t>
  </si>
  <si>
    <t>取消医嘱并验证状态</t>
  </si>
  <si>
    <t>医嘱页面</t>
  </si>
  <si>
    <t>配合岗位：执行人员。1.取消未开始医嘱；2.尝试取消已开始医嘱；3.查看执行端和日志</t>
  </si>
  <si>
    <t>取消规则符合医院要求，双方状态一致，原因可追溯</t>
  </si>
  <si>
    <t>取消前后截图</t>
  </si>
  <si>
    <t>FZ-005</t>
  </si>
  <si>
    <t>将特检结果纳入诊断报告</t>
  </si>
  <si>
    <t>1.打开病例；2.查看特检结果；3.引用或录入报告；4.签发；5.核对最终报告</t>
  </si>
  <si>
    <t>结果归入正确病例和报告，来源可追溯</t>
  </si>
  <si>
    <t>结果和报告截图</t>
  </si>
  <si>
    <t>HZ-001</t>
  </si>
  <si>
    <t>会诊申请人员</t>
  </si>
  <si>
    <t>创建会诊申请并登记资料</t>
  </si>
  <si>
    <t>会诊工作站</t>
  </si>
  <si>
    <t>配合岗位：资料人员。1.创建会诊；2.录入来源和目的；3.登记收到的资料；4.分配会诊医生</t>
  </si>
  <si>
    <t>生成唯一会诊记录，资料数量和责任人可追溯</t>
  </si>
  <si>
    <t>申请和资料截图</t>
  </si>
  <si>
    <t>HZ-002</t>
  </si>
  <si>
    <t>会诊病理医生</t>
  </si>
  <si>
    <t>完成会诊诊断和结果交付</t>
  </si>
  <si>
    <t>会诊诊断/报告页面</t>
  </si>
  <si>
    <t>配合岗位：审核人。1.查看原资料；2.录入会诊意见；3.审核或签发；4.打印或回传；5.确认接收</t>
  </si>
  <si>
    <t>会诊意见进入正确病例，结果交付有记录</t>
  </si>
  <si>
    <t>会诊报告、交付截图</t>
  </si>
  <si>
    <t>HZ-003</t>
  </si>
  <si>
    <t>资料</t>
  </si>
  <si>
    <t>归还和归档会诊资料</t>
  </si>
  <si>
    <t>会诊/档案管理</t>
  </si>
  <si>
    <t>配合岗位：档案人员。1.核对归还清单；2.记录归还人和时间；3.归档电子结果；4.查询记录</t>
  </si>
  <si>
    <t>实体资料去向明确，电子结果可查询，数量一致</t>
  </si>
  <si>
    <t>归还清单、归档截图</t>
  </si>
  <si>
    <t>DA-001</t>
  </si>
  <si>
    <t>档案人员</t>
  </si>
  <si>
    <t>归档蜡块、玻片和报告</t>
  </si>
  <si>
    <t>档案管理</t>
  </si>
  <si>
    <t>1.扫描或选择病例；2.录入库位；3.核对蜡块和玻片数量；4.完成归档</t>
  </si>
  <si>
    <t>库位、数量、归档人和时间可查询，报告版本正确</t>
  </si>
  <si>
    <t>归档截图、实体清单</t>
  </si>
  <si>
    <t>DA-002</t>
  </si>
  <si>
    <t>按患者、病理号和库位查询</t>
  </si>
  <si>
    <t>档案查询</t>
  </si>
  <si>
    <t>配合岗位：医生。1.分别按患者、病理号和库位查询；2.打开记录；3.核对实体位置</t>
  </si>
  <si>
    <t>三种查询均定位同一病例和正确实体位置</t>
  </si>
  <si>
    <t>查询截图</t>
  </si>
  <si>
    <t>DA-003</t>
  </si>
  <si>
    <t>办理借阅和归还</t>
  </si>
  <si>
    <t>借阅管理</t>
  </si>
  <si>
    <t>配合岗位：借阅人。1.发起借阅；2.审批或确认；3.记录借出数量和期限；4.归还；5.核对状态</t>
  </si>
  <si>
    <t>借出和归还人员、时间、数量可追溯，逾期可识别</t>
  </si>
  <si>
    <t>借还记录截图</t>
  </si>
  <si>
    <t>DA-004</t>
  </si>
  <si>
    <t>打开与病例关联的数字切片</t>
  </si>
  <si>
    <t>病例详情/数字切片</t>
  </si>
  <si>
    <t>配合岗位：数字切片管理员。1.从病例打开切片；2.核对病理号和片号；3.放大缩小和移动；4.记录打开时间</t>
  </si>
  <si>
    <t>打开正确切片，操作流畅，身份和权限符合要求</t>
  </si>
  <si>
    <t>打开截图、时间记录</t>
  </si>
  <si>
    <t>SJ-001</t>
  </si>
  <si>
    <t>数据管理员</t>
  </si>
  <si>
    <t>生成数据采集批次</t>
  </si>
  <si>
    <t>数据采集前置服务</t>
  </si>
  <si>
    <t>1.选择时间或病例范围；2.生成批次；3.记录批次号和记录数</t>
  </si>
  <si>
    <t>批次唯一，范围和记录数明确</t>
  </si>
  <si>
    <t>批次截图</t>
  </si>
  <si>
    <t>SJ-002</t>
  </si>
  <si>
    <t>执行清洗和校验</t>
  </si>
  <si>
    <t>数据校验页面</t>
  </si>
  <si>
    <t>1.执行校验；2.查看必填、代码和值域错误；3.修正或标记；4.再次校验</t>
  </si>
  <si>
    <t>错误可定位到记录和字段，修正后批次通过校验</t>
  </si>
  <si>
    <t>错误清单、校验结果</t>
  </si>
  <si>
    <t>SJ-003</t>
  </si>
  <si>
    <t>提交平台并核对回执</t>
  </si>
  <si>
    <t>上报平台</t>
  </si>
  <si>
    <t>配合岗位：接口工程师。1.提交批次；2.查看发送状态；3.获取平台回执；4.核对接收数和失败数</t>
  </si>
  <si>
    <t>平台回执与本地批次一致，成功和失败数量可解释</t>
  </si>
  <si>
    <t>上报回执、对账表</t>
  </si>
  <si>
    <t>SJ-004</t>
  </si>
  <si>
    <t>处理失败记录并补报</t>
  </si>
  <si>
    <t>上报失败列表</t>
  </si>
  <si>
    <t>配合岗位：接口工程师。1.打开失败原因；2.修正数据或映射；3.仅选择失败记录补报；4.核对结果</t>
  </si>
  <si>
    <t>失败记录补报成功，不重复生成已成功记录</t>
  </si>
  <si>
    <t>失败前后截图、回执</t>
  </si>
  <si>
    <t>SJ-005</t>
  </si>
  <si>
    <t>完成PIS与平台数量对账</t>
  </si>
  <si>
    <t>PIS统计/平台统计</t>
  </si>
  <si>
    <t>配合岗位：项目负责人。1.统计PIS应上报数；2.统计平台接收数；3.核对成功、失败、取消和重复；4.双方确认</t>
  </si>
  <si>
    <t>数量平衡，差异有明细、原因和处理人</t>
  </si>
  <si>
    <t>对账表、双方确认记录</t>
  </si>
  <si>
    <t>YC-001</t>
  </si>
  <si>
    <t>模拟普通业务网络中断和恢复</t>
  </si>
  <si>
    <t>任一业务工作站</t>
  </si>
  <si>
    <t>配合岗位：对应岗位人员。1.业务处理中断开网络；2.观察提示；3.按应急方案处理；4.恢复网络；5.检查是否重复提交</t>
  </si>
  <si>
    <t>用户获得明确提示，恢复后数据一致，无重复任务</t>
  </si>
  <si>
    <t>演练记录、恢复前后截图</t>
  </si>
  <si>
    <t>YC-002</t>
  </si>
  <si>
    <t>模拟打印失败和补打</t>
  </si>
  <si>
    <t>打印工作站</t>
  </si>
  <si>
    <t>配合岗位：对应岗位人员。1.暂停打印机或制造缺纸；2.发起打印；3.查看失败提示；4.恢复设备；5.按规则补打</t>
  </si>
  <si>
    <t>失败有提示和记录，补打内容正确，不产生错误编号</t>
  </si>
  <si>
    <t>失败及补打截图、样张</t>
  </si>
  <si>
    <t>YC-003</t>
  </si>
  <si>
    <t>对应岗位人员</t>
  </si>
  <si>
    <t>扫描错误或不匹配条码</t>
  </si>
  <si>
    <t>登记/技术工作站</t>
  </si>
  <si>
    <t>1.在当前任务扫描错误条码；2.观察提示；3.扫描正确条码；4.检查记录</t>
  </si>
  <si>
    <t>错误条码被拒绝且不能改变当前病例，正确条码正常处理</t>
  </si>
  <si>
    <t>提示截图</t>
  </si>
  <si>
    <t>YC-004</t>
  </si>
  <si>
    <t>接口恢复后确认同一业务不会重复生成</t>
  </si>
  <si>
    <t>PIS查询页面和接口日志；由接口工程师执行</t>
  </si>
  <si>
    <t>1.记录中断前申请号；2.恢复接口并触发补发；3.按申请号查询PIS；4.确认只有一条业务记录；5.保存补发日志和查询截图</t>
  </si>
  <si>
    <t>消息最终成功且只形成一条有效业务记录</t>
  </si>
  <si>
    <t>接口日志、查询截图</t>
  </si>
  <si>
    <t>YC-005</t>
  </si>
  <si>
    <t>病理号重号或编号冲突保护</t>
  </si>
  <si>
    <t>编号配置/登记工作站</t>
  </si>
  <si>
    <t>配合岗位：登记人员。1.制造或模拟相同候选编号；2.提交登记；3.观察系统处理；4.查询最终编号</t>
  </si>
  <si>
    <t>系统阻止重号或生成新的唯一编号，并留下处理记录</t>
  </si>
  <si>
    <t>提示和查询截图</t>
  </si>
  <si>
    <t>填写规范及约束｜标准模板｜版本：V1.0</t>
  </si>
  <si>
    <t>本模板不得预填项目事实。所有结论、问题编号、人员、日期和证据路径均须依据真实项目核验结果填写。</t>
  </si>
  <si>
    <t>类别</t>
  </si>
  <si>
    <t>规则</t>
  </si>
  <si>
    <t>必须填写内容</t>
  </si>
  <si>
    <t>合格示例</t>
  </si>
  <si>
    <t>不合格写法</t>
  </si>
  <si>
    <t>异常处理</t>
  </si>
  <si>
    <t>责任人</t>
  </si>
  <si>
    <t>约束说明</t>
  </si>
  <si>
    <t>先做上线准备，再做业务流程；按执行顺序筛选。</t>
  </si>
  <si>
    <t>每行逐项完成</t>
  </si>
  <si>
    <t>先完成01项目确认，再进入02环境与安全</t>
  </si>
  <si>
    <t>先做容易项、核心流程最后做</t>
  </si>
  <si>
    <t>前置条件未满足时选阻塞并写原因</t>
  </si>
  <si>
    <t>不得跳过A项</t>
  </si>
  <si>
    <t>A项</t>
  </si>
  <si>
    <t>本项目范围内的上线阻断条件</t>
  </si>
  <si>
    <t>实际结果、结论、执行人日期、证据</t>
  </si>
  <si>
    <t>A项通过且证据可打开</t>
  </si>
  <si>
    <t>A项未核验仍安排上线</t>
  </si>
  <si>
    <t>立即升级项目经理</t>
  </si>
  <si>
    <t>主执行岗位+项目经理</t>
  </si>
  <si>
    <t>不适用必须有范围确认依据</t>
  </si>
  <si>
    <t>B项</t>
  </si>
  <si>
    <t>上线前必须完成的交付事项</t>
  </si>
  <si>
    <t>与A项相同</t>
  </si>
  <si>
    <t>完成核验；异常已建问题和批准方案</t>
  </si>
  <si>
    <t>只说后续再看</t>
  </si>
  <si>
    <t>登记异常并明确处理计划</t>
  </si>
  <si>
    <t>阻塞或待确认不得忽略</t>
  </si>
  <si>
    <t>C项</t>
  </si>
  <si>
    <t>按范围抽查或作为优化项</t>
  </si>
  <si>
    <t>结论；不适用时写依据</t>
  </si>
  <si>
    <t>不适用：双方确认本次不启用数字切片</t>
  </si>
  <si>
    <t>空着不填</t>
  </si>
  <si>
    <t>明确本次处理结论</t>
  </si>
  <si>
    <t>仍需形成明确结论</t>
  </si>
  <si>
    <t>通过记录</t>
  </si>
  <si>
    <t>写清操作入口、编号、数量和看到的结果</t>
  </si>
  <si>
    <t>实际结果、执行人日期、证据路径</t>
  </si>
  <si>
    <t>输入TEST0001，仅1条申请，字段与HIS一致</t>
  </si>
  <si>
    <t>正常、没问题</t>
  </si>
  <si>
    <t>补充可复核的事实</t>
  </si>
  <si>
    <t>执行人</t>
  </si>
  <si>
    <t>别人只看记录即可判断</t>
  </si>
  <si>
    <t>异常记录</t>
  </si>
  <si>
    <t>不通过、阻塞、待确认必须写问题编号或异常说明</t>
  </si>
  <si>
    <t>编号、现象、影响、责任人、期限</t>
  </si>
  <si>
    <t>WT-003；标签条码缺失；设备工程师14:00前处理</t>
  </si>
  <si>
    <t>打印有点问题</t>
  </si>
  <si>
    <t>提交项目经理跟踪</t>
  </si>
  <si>
    <t>发现人</t>
  </si>
  <si>
    <t>不得只在聊天中反馈</t>
  </si>
  <si>
    <t>复测关闭</t>
  </si>
  <si>
    <t>修复后重新执行原步骤</t>
  </si>
  <si>
    <t>复测结果、人员、日期、新证据</t>
  </si>
  <si>
    <t>连续打印10张，10张扫码成功；李某/2026-08-01</t>
  </si>
  <si>
    <t>开发说已修复</t>
  </si>
  <si>
    <t>复测通过后才能关闭</t>
  </si>
  <si>
    <t>复测人</t>
  </si>
  <si>
    <t>整改前后证据分开编号</t>
  </si>
  <si>
    <t>证据命名</t>
  </si>
  <si>
    <t>医院简称_任务编号_YYYYMMDD_序号.扩展名</t>
  </si>
  <si>
    <t>武汉肺科_DJ-002_20260801_01.png</t>
  </si>
  <si>
    <t>截图1.png</t>
  </si>
  <si>
    <t>按任务和日期重命名</t>
  </si>
  <si>
    <t>统一存放项目交付目录</t>
  </si>
  <si>
    <t>证据内容</t>
  </si>
  <si>
    <t>能对应唯一任务并看清结果</t>
  </si>
  <si>
    <t>页面、编号、时间或数量</t>
  </si>
  <si>
    <t>截图包含页面名、申请号和结果</t>
  </si>
  <si>
    <t>只截一个按钮</t>
  </si>
  <si>
    <t>重新截取完整证据</t>
  </si>
  <si>
    <t>聊天记录不能代替正式证据</t>
  </si>
  <si>
    <t>数据安全</t>
  </si>
  <si>
    <t>只使用批准的测试或脱敏数据</t>
  </si>
  <si>
    <t>必要证据且不含无关敏感信息</t>
  </si>
  <si>
    <t>患者信息按医院要求遮挡</t>
  </si>
  <si>
    <t>截图包含身份证号、密码或令牌</t>
  </si>
  <si>
    <t>立即停止外发并按医院制度处理</t>
  </si>
  <si>
    <t>全体人员</t>
  </si>
  <si>
    <t>不得把证据存入个人非授权设备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</si>
</sst>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rlito"/>
    </font>
    <font>
      <sz val="11"/>
      <name val="Carlito"/>
    </font>
    <font>
      <sz val="9"/>
      <name val="宋体"/>
      <family val="3"/>
      <charset val="134"/>
    </font>
    <font>
      <b/>
      <sz val="16"/>
      <color rgb="FFFFFFFF"/>
      <name val="微软雅黑"/>
      <family val="2"/>
      <charset val="134"/>
    </font>
    <font>
      <b/>
      <sz val="9"/>
      <color rgb="FFFFFFFF"/>
      <name val="微软雅黑"/>
      <family val="2"/>
    </font>
    <font>
      <b/>
      <sz val="9"/>
      <color rgb="FF243447"/>
      <name val="微软雅黑"/>
      <family val="2"/>
    </font>
    <font>
      <sz val="9"/>
      <color rgb="FF243447"/>
      <name val="微软雅黑"/>
      <family val="2"/>
    </font>
    <font>
      <b/>
      <sz val="16"/>
      <color rgb="FFFFFFFF"/>
      <name val="微软雅黑"/>
      <family val="2"/>
    </font>
    <font>
      <b/>
      <sz val="9"/>
      <color rgb="FFFFFFFF"/>
      <name val="微软雅黑"/>
      <family val="2"/>
      <charset val="134"/>
    </font>
    <font>
      <b/>
      <sz val="9"/>
      <color rgb="FF243447"/>
      <name val="微软雅黑"/>
      <family val="2"/>
      <charset val="134"/>
    </font>
    <font>
      <b/>
      <sz val="9"/>
      <color rgb="FF17365D"/>
      <name val="微软雅黑"/>
      <family val="2"/>
      <charset val="134"/>
    </font>
    <font>
      <b/>
      <sz val="9"/>
      <color rgb="FF17365D"/>
      <name val="微软雅黑"/>
      <family val="2"/>
    </font>
    <font>
      <sz val="8.5"/>
      <color rgb="FF243447"/>
      <name val="微软雅黑"/>
      <family val="2"/>
    </font>
    <font>
      <b/>
      <sz val="8.5"/>
      <color rgb="FF17365D"/>
      <name val="微软雅黑"/>
      <family val="2"/>
      <charset val="134"/>
    </font>
  </fonts>
  <fills count="17">
    <fill>
      <patternFill patternType="none"/>
    </fill>
    <fill>
      <patternFill patternType="gray125"/>
    </fill>
    <fill>
      <patternFill patternType="solid">
        <fgColor rgb="FFEAF3F8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4CCCC"/>
      </patternFill>
    </fill>
    <fill>
      <patternFill patternType="solid">
        <fgColor rgb="FFFCE4D6"/>
      </patternFill>
    </fill>
    <fill>
      <patternFill patternType="solid">
        <fgColor rgb="FFE7E6E6"/>
      </patternFill>
    </fill>
    <fill>
      <patternFill patternType="solid">
        <fgColor rgb="FF17365D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FF4CE"/>
        <bgColor indexed="64"/>
      </patternFill>
    </fill>
    <fill>
      <patternFill patternType="solid">
        <fgColor rgb="FFEDF4FA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7E6E6"/>
        <bgColor indexed="64"/>
      </patternFill>
    </fill>
  </fills>
  <borders count="3">
    <border>
      <left/>
      <right/>
      <top/>
      <bottom/>
      <diagonal/>
    </border>
    <border>
      <left style="thin">
        <color rgb="FFA9BED3"/>
      </left>
      <right style="thin">
        <color rgb="FFA9BED3"/>
      </right>
      <top style="thin">
        <color rgb="FFA9BED3"/>
      </top>
      <bottom style="thin">
        <color rgb="FFA9BED3"/>
      </bottom>
      <diagonal/>
    </border>
    <border>
      <left style="thin">
        <color rgb="FFA9BED3"/>
      </left>
      <right style="thin">
        <color rgb="FFA9BED3"/>
      </right>
      <top style="thin">
        <color rgb="FFA9BED3"/>
      </top>
      <bottom/>
      <diagonal/>
    </border>
  </borders>
  <cellStyleXfs count="2">
    <xf numFmtId="0" fontId="0" fillId="0" borderId="0"/>
    <xf numFmtId="0" fontId="1" fillId="0" borderId="0"/>
  </cellStyleXfs>
  <cellXfs count="67">
    <xf numFmtId="0" fontId="0" fillId="0" borderId="0" xfId="0"/>
    <xf numFmtId="0" fontId="6" fillId="0" borderId="0" xfId="0" applyFont="1" applyAlignment="1">
      <alignment vertical="center"/>
    </xf>
    <xf numFmtId="0" fontId="3" fillId="8" borderId="0" xfId="1" applyFont="1" applyFill="1" applyBorder="1" applyAlignment="1">
      <alignment horizontal="left" vertical="center"/>
    </xf>
    <xf numFmtId="0" fontId="7" fillId="8" borderId="0" xfId="0" applyFont="1" applyFill="1" applyBorder="1" applyAlignment="1">
      <alignment horizontal="left" vertical="center"/>
    </xf>
    <xf numFmtId="0" fontId="8" fillId="9" borderId="2" xfId="1" applyFont="1" applyFill="1" applyBorder="1" applyAlignment="1">
      <alignment horizontal="center" vertical="center"/>
    </xf>
    <xf numFmtId="0" fontId="8" fillId="9" borderId="1" xfId="1" applyFont="1" applyFill="1" applyBorder="1" applyAlignment="1">
      <alignment horizontal="center" vertical="center"/>
    </xf>
    <xf numFmtId="0" fontId="9" fillId="10" borderId="1" xfId="1" applyFont="1" applyFill="1" applyBorder="1" applyAlignment="1">
      <alignment horizontal="center" vertical="center"/>
    </xf>
    <xf numFmtId="0" fontId="5" fillId="10" borderId="1" xfId="1" applyFont="1" applyFill="1" applyBorder="1" applyAlignment="1">
      <alignment horizontal="center" vertical="center"/>
    </xf>
    <xf numFmtId="0" fontId="9" fillId="10" borderId="1" xfId="1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6" fillId="11" borderId="1" xfId="1" applyFont="1" applyFill="1" applyBorder="1" applyAlignment="1">
      <alignment vertical="center" wrapText="1"/>
    </xf>
    <xf numFmtId="0" fontId="6" fillId="11" borderId="1" xfId="0" applyFont="1" applyFill="1" applyBorder="1" applyAlignment="1">
      <alignment vertical="center" wrapText="1"/>
    </xf>
    <xf numFmtId="0" fontId="8" fillId="9" borderId="2" xfId="1" applyFont="1" applyFill="1" applyBorder="1" applyAlignment="1">
      <alignment horizontal="center" vertical="center" wrapText="1"/>
    </xf>
    <xf numFmtId="0" fontId="9" fillId="12" borderId="1" xfId="1" applyFont="1" applyFill="1" applyBorder="1" applyAlignment="1">
      <alignment vertical="center" wrapText="1"/>
    </xf>
    <xf numFmtId="0" fontId="9" fillId="11" borderId="1" xfId="1" applyFont="1" applyFill="1" applyBorder="1" applyAlignment="1">
      <alignment horizontal="center" vertical="center" wrapText="1"/>
    </xf>
    <xf numFmtId="0" fontId="6" fillId="13" borderId="1" xfId="1" applyFont="1" applyFill="1" applyBorder="1" applyAlignment="1">
      <alignment vertical="center" wrapText="1"/>
    </xf>
    <xf numFmtId="0" fontId="5" fillId="12" borderId="1" xfId="1" applyFont="1" applyFill="1" applyBorder="1" applyAlignment="1">
      <alignment vertical="center" wrapText="1"/>
    </xf>
    <xf numFmtId="9" fontId="9" fillId="11" borderId="1" xfId="1" applyNumberFormat="1" applyFont="1" applyFill="1" applyBorder="1" applyAlignment="1">
      <alignment horizontal="center" vertical="center" wrapText="1"/>
    </xf>
    <xf numFmtId="0" fontId="6" fillId="11" borderId="1" xfId="1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vertical="center" wrapText="1"/>
    </xf>
    <xf numFmtId="0" fontId="6" fillId="5" borderId="1" xfId="1" applyFont="1" applyFill="1" applyBorder="1" applyAlignment="1">
      <alignment vertical="center" wrapText="1"/>
    </xf>
    <xf numFmtId="0" fontId="6" fillId="0" borderId="1" xfId="1" applyFont="1" applyBorder="1" applyAlignment="1">
      <alignment vertical="center" wrapText="1"/>
    </xf>
    <xf numFmtId="0" fontId="6" fillId="6" borderId="1" xfId="1" applyFont="1" applyFill="1" applyBorder="1" applyAlignment="1">
      <alignment vertical="center" wrapText="1"/>
    </xf>
    <xf numFmtId="0" fontId="6" fillId="6" borderId="1" xfId="1" applyFont="1" applyFill="1" applyBorder="1" applyAlignment="1">
      <alignment vertical="center" wrapText="1"/>
    </xf>
    <xf numFmtId="0" fontId="6" fillId="7" borderId="1" xfId="1" applyFont="1" applyFill="1" applyBorder="1" applyAlignment="1">
      <alignment vertical="center" wrapText="1"/>
    </xf>
    <xf numFmtId="0" fontId="6" fillId="7" borderId="1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0" fontId="10" fillId="11" borderId="1" xfId="1" applyFont="1" applyFill="1" applyBorder="1" applyAlignment="1">
      <alignment horizontal="center" vertical="center" wrapText="1"/>
    </xf>
    <xf numFmtId="0" fontId="8" fillId="8" borderId="1" xfId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vertical="center" wrapText="1"/>
    </xf>
    <xf numFmtId="0" fontId="5" fillId="14" borderId="1" xfId="1" applyFont="1" applyFill="1" applyBorder="1" applyAlignment="1">
      <alignment vertical="center" wrapText="1"/>
    </xf>
    <xf numFmtId="0" fontId="5" fillId="15" borderId="1" xfId="1" applyFont="1" applyFill="1" applyBorder="1" applyAlignment="1">
      <alignment vertical="center" wrapText="1"/>
    </xf>
    <xf numFmtId="0" fontId="5" fillId="16" borderId="1" xfId="1" applyFont="1" applyFill="1" applyBorder="1" applyAlignment="1">
      <alignment vertical="center" wrapText="1"/>
    </xf>
    <xf numFmtId="0" fontId="5" fillId="10" borderId="1" xfId="1" applyFont="1" applyFill="1" applyBorder="1" applyAlignment="1">
      <alignment vertical="center" wrapText="1"/>
    </xf>
    <xf numFmtId="0" fontId="5" fillId="12" borderId="2" xfId="1" applyFont="1" applyFill="1" applyBorder="1" applyAlignment="1">
      <alignment vertical="center" wrapText="1"/>
    </xf>
    <xf numFmtId="0" fontId="9" fillId="11" borderId="2" xfId="1" applyFont="1" applyFill="1" applyBorder="1" applyAlignment="1">
      <alignment horizontal="center" vertical="center" wrapText="1"/>
    </xf>
    <xf numFmtId="0" fontId="6" fillId="13" borderId="2" xfId="1" applyFont="1" applyFill="1" applyBorder="1" applyAlignment="1">
      <alignment vertical="center" wrapText="1"/>
    </xf>
    <xf numFmtId="0" fontId="10" fillId="10" borderId="1" xfId="1" applyFont="1" applyFill="1" applyBorder="1" applyAlignment="1">
      <alignment vertical="center" wrapText="1"/>
    </xf>
    <xf numFmtId="0" fontId="8" fillId="8" borderId="2" xfId="1" applyFont="1" applyFill="1" applyBorder="1" applyAlignment="1">
      <alignment vertical="center" wrapText="1"/>
    </xf>
    <xf numFmtId="0" fontId="10" fillId="10" borderId="2" xfId="1" applyFont="1" applyFill="1" applyBorder="1" applyAlignment="1">
      <alignment vertical="center" wrapText="1"/>
    </xf>
    <xf numFmtId="0" fontId="11" fillId="10" borderId="2" xfId="1" applyFont="1" applyFill="1" applyBorder="1" applyAlignment="1">
      <alignment vertical="center" wrapText="1"/>
    </xf>
    <xf numFmtId="0" fontId="9" fillId="12" borderId="1" xfId="1" applyFont="1" applyFill="1" applyBorder="1" applyAlignment="1">
      <alignment horizontal="center" vertical="center" wrapText="1"/>
    </xf>
    <xf numFmtId="0" fontId="6" fillId="10" borderId="1" xfId="1" applyFont="1" applyFill="1" applyBorder="1" applyAlignment="1">
      <alignment vertical="center" wrapText="1"/>
    </xf>
    <xf numFmtId="0" fontId="6" fillId="10" borderId="1" xfId="1" applyFont="1" applyFill="1" applyBorder="1" applyAlignment="1">
      <alignment vertical="center"/>
    </xf>
    <xf numFmtId="0" fontId="10" fillId="11" borderId="2" xfId="1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vertical="center" wrapText="1"/>
    </xf>
    <xf numFmtId="0" fontId="6" fillId="12" borderId="1" xfId="1" applyFont="1" applyFill="1" applyBorder="1" applyAlignment="1">
      <alignment vertical="center" wrapText="1"/>
    </xf>
    <xf numFmtId="0" fontId="6" fillId="12" borderId="1" xfId="0" applyFont="1" applyFill="1" applyBorder="1" applyAlignment="1">
      <alignment vertical="center" wrapText="1"/>
    </xf>
    <xf numFmtId="0" fontId="6" fillId="11" borderId="2" xfId="1" applyFont="1" applyFill="1" applyBorder="1" applyAlignment="1">
      <alignment vertical="center" wrapText="1"/>
    </xf>
    <xf numFmtId="0" fontId="6" fillId="11" borderId="2" xfId="0" applyFont="1" applyFill="1" applyBorder="1" applyAlignment="1">
      <alignment vertical="center" wrapText="1"/>
    </xf>
    <xf numFmtId="0" fontId="4" fillId="9" borderId="2" xfId="1" applyFont="1" applyFill="1" applyBorder="1" applyAlignment="1">
      <alignment horizontal="center" vertical="center" wrapText="1"/>
    </xf>
    <xf numFmtId="0" fontId="12" fillId="10" borderId="1" xfId="1" applyFont="1" applyFill="1" applyBorder="1" applyAlignment="1">
      <alignment vertical="center" wrapText="1"/>
    </xf>
    <xf numFmtId="0" fontId="12" fillId="10" borderId="1" xfId="1" applyFont="1" applyFill="1" applyBorder="1" applyAlignment="1">
      <alignment horizontal="center" vertical="center" wrapText="1"/>
    </xf>
    <xf numFmtId="0" fontId="12" fillId="13" borderId="1" xfId="1" applyFont="1" applyFill="1" applyBorder="1" applyAlignment="1">
      <alignment horizontal="center" vertical="center" wrapText="1"/>
    </xf>
    <xf numFmtId="0" fontId="12" fillId="13" borderId="1" xfId="1" applyFont="1" applyFill="1" applyBorder="1" applyAlignment="1">
      <alignment vertical="center" wrapText="1"/>
    </xf>
    <xf numFmtId="0" fontId="13" fillId="13" borderId="1" xfId="1" applyFont="1" applyFill="1" applyBorder="1" applyAlignment="1">
      <alignment horizontal="center" vertical="center" wrapText="1"/>
    </xf>
    <xf numFmtId="0" fontId="13" fillId="14" borderId="1" xfId="1" applyFont="1" applyFill="1" applyBorder="1" applyAlignment="1">
      <alignment horizontal="center" vertical="center" wrapText="1"/>
    </xf>
    <xf numFmtId="0" fontId="12" fillId="16" borderId="1" xfId="1" applyFont="1" applyFill="1" applyBorder="1" applyAlignment="1">
      <alignment horizontal="center" vertical="center" wrapText="1"/>
    </xf>
    <xf numFmtId="0" fontId="13" fillId="15" borderId="1" xfId="1" applyFont="1" applyFill="1" applyBorder="1" applyAlignment="1">
      <alignment horizontal="center" vertical="center" wrapText="1"/>
    </xf>
    <xf numFmtId="0" fontId="10" fillId="12" borderId="1" xfId="1" applyFont="1" applyFill="1" applyBorder="1" applyAlignment="1">
      <alignment vertical="center" wrapText="1"/>
    </xf>
    <xf numFmtId="0" fontId="6" fillId="0" borderId="1" xfId="1" applyFont="1" applyBorder="1" applyAlignment="1">
      <alignment vertical="center" wrapText="1"/>
    </xf>
    <xf numFmtId="0" fontId="6" fillId="4" borderId="1" xfId="1" applyFont="1" applyFill="1" applyBorder="1" applyAlignment="1">
      <alignment vertical="center" wrapText="1"/>
    </xf>
    <xf numFmtId="0" fontId="6" fillId="2" borderId="1" xfId="1" applyFont="1" applyFill="1" applyBorder="1" applyAlignment="1">
      <alignment vertical="center" wrapText="1"/>
    </xf>
    <xf numFmtId="0" fontId="11" fillId="12" borderId="1" xfId="1" applyFont="1" applyFill="1" applyBorder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59">
    <dxf>
      <font>
        <b/>
        <i val="0"/>
        <strike val="0"/>
        <outline val="0"/>
        <shadow val="0"/>
        <u val="none"/>
        <vertAlign val="baseline"/>
        <sz val="8.5"/>
        <color rgb="FF17365D"/>
        <name val="微软雅黑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9BED3"/>
        </left>
        <right/>
        <top style="thin">
          <color rgb="FFA9BED3"/>
        </top>
        <bottom style="thin">
          <color rgb="FFA9BED3"/>
        </bottom>
      </border>
    </dxf>
    <dxf>
      <font>
        <b val="0"/>
        <i val="0"/>
        <strike val="0"/>
        <outline val="0"/>
        <shadow val="0"/>
        <u val="none"/>
        <vertAlign val="baseline"/>
        <sz val="8.5"/>
        <color rgb="FF243447"/>
        <name val="微软雅黑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rgb="FFA9BED3"/>
        </top>
        <bottom style="thin">
          <color rgb="FFA9BED3"/>
        </bottom>
      </border>
    </dxf>
    <dxf>
      <font>
        <b val="0"/>
        <i val="0"/>
        <strike val="0"/>
        <outline val="0"/>
        <shadow val="0"/>
        <u val="none"/>
        <vertAlign val="baseline"/>
        <sz val="8.5"/>
        <color rgb="FF243447"/>
        <name val="微软雅黑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 style="thin">
          <color rgb="FFA9BED3"/>
        </top>
        <bottom style="thin">
          <color rgb="FFA9BED3"/>
        </bottom>
      </border>
    </dxf>
    <dxf>
      <font>
        <b val="0"/>
        <i val="0"/>
        <strike val="0"/>
        <outline val="0"/>
        <shadow val="0"/>
        <u val="none"/>
        <vertAlign val="baseline"/>
        <sz val="8.5"/>
        <color rgb="FF243447"/>
        <name val="微软雅黑"/>
        <family val="2"/>
        <scheme val="none"/>
      </font>
      <fill>
        <patternFill patternType="solid">
          <fgColor indexed="64"/>
          <bgColor rgb="FFFFF4CE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 style="thin">
          <color rgb="FFA9BED3"/>
        </right>
        <top style="thin">
          <color rgb="FFA9BED3"/>
        </top>
        <bottom style="thin">
          <color rgb="FFA9BED3"/>
        </bottom>
      </border>
    </dxf>
    <dxf>
      <font>
        <b val="0"/>
        <i val="0"/>
        <strike val="0"/>
        <outline val="0"/>
        <shadow val="0"/>
        <u val="none"/>
        <vertAlign val="baseline"/>
        <sz val="8.5"/>
        <color rgb="FF243447"/>
        <name val="微软雅黑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 style="thin">
          <color rgb="FFA9BED3"/>
        </top>
        <bottom style="thin">
          <color rgb="FFA9BED3"/>
        </bottom>
      </border>
    </dxf>
    <dxf>
      <font>
        <b val="0"/>
        <i val="0"/>
        <strike val="0"/>
        <outline val="0"/>
        <shadow val="0"/>
        <u val="none"/>
        <vertAlign val="baseline"/>
        <sz val="8.5"/>
        <color rgb="FF243447"/>
        <name val="微软雅黑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 style="thin">
          <color rgb="FFA9BED3"/>
        </top>
        <bottom style="thin">
          <color rgb="FFA9BED3"/>
        </bottom>
      </border>
    </dxf>
    <dxf>
      <font>
        <b val="0"/>
        <i val="0"/>
        <strike val="0"/>
        <outline val="0"/>
        <shadow val="0"/>
        <u val="none"/>
        <vertAlign val="baseline"/>
        <sz val="8.5"/>
        <color rgb="FF243447"/>
        <name val="微软雅黑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 style="thin">
          <color rgb="FFA9BED3"/>
        </top>
        <bottom style="thin">
          <color rgb="FFA9BED3"/>
        </bottom>
      </border>
    </dxf>
    <dxf>
      <font>
        <b val="0"/>
        <i val="0"/>
        <strike val="0"/>
        <outline val="0"/>
        <shadow val="0"/>
        <u val="none"/>
        <vertAlign val="baseline"/>
        <sz val="8.5"/>
        <color rgb="FF243447"/>
        <name val="微软雅黑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 style="thin">
          <color rgb="FFA9BED3"/>
        </top>
        <bottom style="thin">
          <color rgb="FFA9BED3"/>
        </bottom>
      </border>
    </dxf>
    <dxf>
      <font>
        <b val="0"/>
        <i val="0"/>
        <strike val="0"/>
        <outline val="0"/>
        <shadow val="0"/>
        <u val="none"/>
        <vertAlign val="baseline"/>
        <sz val="8.5"/>
        <color rgb="FF243447"/>
        <name val="微软雅黑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rgb="FFA9BED3"/>
        </top>
        <bottom style="thin">
          <color rgb="FFA9BED3"/>
        </bottom>
      </border>
    </dxf>
    <dxf>
      <font>
        <b val="0"/>
        <i val="0"/>
        <strike val="0"/>
        <outline val="0"/>
        <shadow val="0"/>
        <u val="none"/>
        <vertAlign val="baseline"/>
        <sz val="8.5"/>
        <color rgb="FF243447"/>
        <name val="微软雅黑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rgb="FFA9BED3"/>
        </top>
        <bottom style="thin">
          <color rgb="FFA9BED3"/>
        </bottom>
      </border>
    </dxf>
    <dxf>
      <font>
        <b val="0"/>
        <i val="0"/>
        <strike val="0"/>
        <outline val="0"/>
        <shadow val="0"/>
        <u val="none"/>
        <vertAlign val="baseline"/>
        <sz val="8.5"/>
        <color rgb="FF243447"/>
        <name val="微软雅黑"/>
        <family val="2"/>
        <scheme val="none"/>
      </font>
      <fill>
        <patternFill patternType="solid">
          <fgColor indexed="64"/>
          <bgColor rgb="FFFFF4CE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rgb="FFA9BED3"/>
        </top>
        <bottom style="thin">
          <color rgb="FFA9BED3"/>
        </bottom>
      </border>
    </dxf>
    <dxf>
      <font>
        <b val="0"/>
        <i val="0"/>
        <strike val="0"/>
        <outline val="0"/>
        <shadow val="0"/>
        <u val="none"/>
        <vertAlign val="baseline"/>
        <sz val="8.5"/>
        <color rgb="FF243447"/>
        <name val="微软雅黑"/>
        <family val="2"/>
        <scheme val="none"/>
      </font>
      <fill>
        <patternFill patternType="solid">
          <fgColor indexed="64"/>
          <bgColor rgb="FFFFF4CE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A9BED3"/>
        </left>
        <right style="thin">
          <color rgb="FFA9BED3"/>
        </right>
        <top style="thin">
          <color rgb="FFA9BED3"/>
        </top>
        <bottom style="thin">
          <color rgb="FFA9BED3"/>
        </bottom>
      </border>
    </dxf>
    <dxf>
      <font>
        <b val="0"/>
        <i val="0"/>
        <strike val="0"/>
        <outline val="0"/>
        <shadow val="0"/>
        <u val="none"/>
        <vertAlign val="baseline"/>
        <sz val="8.5"/>
        <color rgb="FF243447"/>
        <name val="微软雅黑"/>
        <family val="2"/>
        <scheme val="none"/>
      </font>
      <fill>
        <patternFill patternType="solid">
          <fgColor indexed="64"/>
          <bgColor rgb="FFFFF4CE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A9BED3"/>
        </left>
        <right style="thin">
          <color rgb="FFA9BED3"/>
        </right>
        <top style="thin">
          <color rgb="FFA9BED3"/>
        </top>
        <bottom style="thin">
          <color rgb="FFA9BED3"/>
        </bottom>
      </border>
    </dxf>
    <dxf>
      <font>
        <b val="0"/>
        <i val="0"/>
        <strike val="0"/>
        <outline val="0"/>
        <shadow val="0"/>
        <u val="none"/>
        <vertAlign val="baseline"/>
        <sz val="8.5"/>
        <color rgb="FF243447"/>
        <name val="微软雅黑"/>
        <family val="2"/>
        <scheme val="none"/>
      </font>
      <fill>
        <patternFill patternType="solid">
          <fgColor indexed="64"/>
          <bgColor rgb="FFFFF4CE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rgb="FFA9BED3"/>
        </top>
        <bottom style="thin">
          <color rgb="FFA9BED3"/>
        </bottom>
      </border>
    </dxf>
    <dxf>
      <font>
        <b val="0"/>
        <i val="0"/>
        <strike val="0"/>
        <outline val="0"/>
        <shadow val="0"/>
        <u val="none"/>
        <vertAlign val="baseline"/>
        <sz val="8.5"/>
        <color rgb="FF243447"/>
        <name val="微软雅黑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9"/>
        <color rgb="FFFFFFFF"/>
        <name val="微软雅黑"/>
        <family val="2"/>
        <scheme val="none"/>
      </font>
      <fill>
        <patternFill patternType="solid">
          <fgColor indexed="64"/>
          <bgColor rgb="FF2F75B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9BED3"/>
        </left>
        <right style="thin">
          <color rgb="FFA9BED3"/>
        </right>
        <top/>
        <bottom/>
        <vertical style="thin">
          <color rgb="FFA9BED3"/>
        </vertical>
        <horizontal style="thin">
          <color indexed="64"/>
        </horizontal>
      </border>
    </dxf>
    <dxf>
      <border>
        <bottom style="thin">
          <color rgb="FFA9BED3"/>
        </bottom>
      </border>
    </dxf>
    <dxf>
      <font>
        <b/>
        <i val="0"/>
        <strike val="0"/>
        <outline val="0"/>
        <shadow val="0"/>
        <u val="none"/>
        <vertAlign val="baseline"/>
        <sz val="8.5"/>
        <color rgb="FF17365D"/>
        <name val="微软雅黑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9BED3"/>
        </left>
        <right/>
        <top style="thin">
          <color rgb="FFA9BED3"/>
        </top>
        <bottom style="thin">
          <color rgb="FFA9BED3"/>
        </bottom>
      </border>
    </dxf>
    <dxf>
      <font>
        <b val="0"/>
        <i val="0"/>
        <strike val="0"/>
        <outline val="0"/>
        <shadow val="0"/>
        <u val="none"/>
        <vertAlign val="baseline"/>
        <sz val="8.5"/>
        <color rgb="FF243447"/>
        <name val="微软雅黑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rgb="FFA9BED3"/>
        </top>
        <bottom style="thin">
          <color rgb="FFA9BED3"/>
        </bottom>
      </border>
    </dxf>
    <dxf>
      <font>
        <b val="0"/>
        <i val="0"/>
        <strike val="0"/>
        <outline val="0"/>
        <shadow val="0"/>
        <u val="none"/>
        <vertAlign val="baseline"/>
        <sz val="8.5"/>
        <color rgb="FF243447"/>
        <name val="微软雅黑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 style="thin">
          <color rgb="FFA9BED3"/>
        </top>
        <bottom style="thin">
          <color rgb="FFA9BED3"/>
        </bottom>
      </border>
    </dxf>
    <dxf>
      <font>
        <b val="0"/>
        <i val="0"/>
        <strike val="0"/>
        <outline val="0"/>
        <shadow val="0"/>
        <u val="none"/>
        <vertAlign val="baseline"/>
        <sz val="8.5"/>
        <color rgb="FF243447"/>
        <name val="微软雅黑"/>
        <family val="2"/>
        <scheme val="none"/>
      </font>
      <fill>
        <patternFill patternType="solid">
          <fgColor indexed="64"/>
          <bgColor rgb="FFFFF4CE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 style="thin">
          <color rgb="FFA9BED3"/>
        </right>
        <top style="thin">
          <color rgb="FFA9BED3"/>
        </top>
        <bottom style="thin">
          <color rgb="FFA9BED3"/>
        </bottom>
      </border>
    </dxf>
    <dxf>
      <font>
        <b val="0"/>
        <i val="0"/>
        <strike val="0"/>
        <outline val="0"/>
        <shadow val="0"/>
        <u val="none"/>
        <vertAlign val="baseline"/>
        <sz val="8.5"/>
        <color rgb="FF243447"/>
        <name val="微软雅黑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 style="thin">
          <color rgb="FFA9BED3"/>
        </top>
        <bottom style="thin">
          <color rgb="FFA9BED3"/>
        </bottom>
      </border>
    </dxf>
    <dxf>
      <font>
        <b val="0"/>
        <i val="0"/>
        <strike val="0"/>
        <outline val="0"/>
        <shadow val="0"/>
        <u val="none"/>
        <vertAlign val="baseline"/>
        <sz val="8.5"/>
        <color rgb="FF243447"/>
        <name val="微软雅黑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 style="thin">
          <color rgb="FFA9BED3"/>
        </top>
        <bottom style="thin">
          <color rgb="FFA9BED3"/>
        </bottom>
      </border>
    </dxf>
    <dxf>
      <font>
        <b val="0"/>
        <i val="0"/>
        <strike val="0"/>
        <outline val="0"/>
        <shadow val="0"/>
        <u val="none"/>
        <vertAlign val="baseline"/>
        <sz val="8.5"/>
        <color rgb="FF243447"/>
        <name val="微软雅黑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 style="thin">
          <color rgb="FFA9BED3"/>
        </top>
        <bottom style="thin">
          <color rgb="FFA9BED3"/>
        </bottom>
      </border>
    </dxf>
    <dxf>
      <font>
        <b val="0"/>
        <i val="0"/>
        <strike val="0"/>
        <outline val="0"/>
        <shadow val="0"/>
        <u val="none"/>
        <vertAlign val="baseline"/>
        <sz val="8.5"/>
        <color rgb="FF243447"/>
        <name val="微软雅黑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 style="thin">
          <color rgb="FFA9BED3"/>
        </top>
        <bottom style="thin">
          <color rgb="FFA9BED3"/>
        </bottom>
      </border>
    </dxf>
    <dxf>
      <font>
        <b val="0"/>
        <i val="0"/>
        <strike val="0"/>
        <outline val="0"/>
        <shadow val="0"/>
        <u val="none"/>
        <vertAlign val="baseline"/>
        <sz val="8.5"/>
        <color rgb="FF243447"/>
        <name val="微软雅黑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rgb="FFA9BED3"/>
        </top>
        <bottom style="thin">
          <color rgb="FFA9BED3"/>
        </bottom>
      </border>
    </dxf>
    <dxf>
      <font>
        <b val="0"/>
        <i val="0"/>
        <strike val="0"/>
        <outline val="0"/>
        <shadow val="0"/>
        <u val="none"/>
        <vertAlign val="baseline"/>
        <sz val="8.5"/>
        <color rgb="FF243447"/>
        <name val="微软雅黑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rgb="FFA9BED3"/>
        </top>
        <bottom style="thin">
          <color rgb="FFA9BED3"/>
        </bottom>
      </border>
    </dxf>
    <dxf>
      <font>
        <b val="0"/>
        <i val="0"/>
        <strike val="0"/>
        <outline val="0"/>
        <shadow val="0"/>
        <u val="none"/>
        <vertAlign val="baseline"/>
        <sz val="8.5"/>
        <color rgb="FF243447"/>
        <name val="微软雅黑"/>
        <family val="2"/>
        <scheme val="none"/>
      </font>
      <fill>
        <patternFill patternType="solid">
          <fgColor indexed="64"/>
          <bgColor rgb="FFFFF4CE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rgb="FFA9BED3"/>
        </top>
        <bottom style="thin">
          <color rgb="FFA9BED3"/>
        </bottom>
      </border>
    </dxf>
    <dxf>
      <font>
        <b val="0"/>
        <i val="0"/>
        <strike val="0"/>
        <outline val="0"/>
        <shadow val="0"/>
        <u val="none"/>
        <vertAlign val="baseline"/>
        <sz val="8.5"/>
        <color rgb="FF243447"/>
        <name val="微软雅黑"/>
        <family val="2"/>
        <scheme val="none"/>
      </font>
      <fill>
        <patternFill patternType="solid">
          <fgColor indexed="64"/>
          <bgColor rgb="FFFFF4CE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A9BED3"/>
        </left>
        <right style="thin">
          <color rgb="FFA9BED3"/>
        </right>
        <top style="thin">
          <color rgb="FFA9BED3"/>
        </top>
        <bottom style="thin">
          <color rgb="FFA9BED3"/>
        </bottom>
      </border>
    </dxf>
    <dxf>
      <font>
        <b val="0"/>
        <i val="0"/>
        <strike val="0"/>
        <outline val="0"/>
        <shadow val="0"/>
        <u val="none"/>
        <vertAlign val="baseline"/>
        <sz val="8.5"/>
        <color rgb="FF243447"/>
        <name val="微软雅黑"/>
        <family val="2"/>
        <scheme val="none"/>
      </font>
      <fill>
        <patternFill patternType="solid">
          <fgColor indexed="64"/>
          <bgColor rgb="FFFFF4CE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A9BED3"/>
        </left>
        <right style="thin">
          <color rgb="FFA9BED3"/>
        </right>
        <top style="thin">
          <color rgb="FFA9BED3"/>
        </top>
        <bottom style="thin">
          <color rgb="FFA9BED3"/>
        </bottom>
      </border>
    </dxf>
    <dxf>
      <font>
        <b val="0"/>
        <i val="0"/>
        <strike val="0"/>
        <outline val="0"/>
        <shadow val="0"/>
        <u val="none"/>
        <vertAlign val="baseline"/>
        <sz val="8.5"/>
        <color rgb="FF243447"/>
        <name val="微软雅黑"/>
        <family val="2"/>
        <scheme val="none"/>
      </font>
      <fill>
        <patternFill patternType="solid">
          <fgColor indexed="64"/>
          <bgColor rgb="FFFFF4CE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rgb="FFA9BED3"/>
        </top>
        <bottom style="thin">
          <color rgb="FFA9BED3"/>
        </bottom>
      </border>
    </dxf>
    <dxf>
      <font>
        <b val="0"/>
        <i val="0"/>
        <strike val="0"/>
        <outline val="0"/>
        <shadow val="0"/>
        <u val="none"/>
        <vertAlign val="baseline"/>
        <sz val="8.5"/>
        <color rgb="FF243447"/>
        <name val="微软雅黑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9"/>
        <color rgb="FFFFFFFF"/>
        <name val="微软雅黑"/>
        <family val="2"/>
        <scheme val="none"/>
      </font>
      <fill>
        <patternFill patternType="solid">
          <fgColor indexed="64"/>
          <bgColor rgb="FF2F75B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9BED3"/>
        </left>
        <right style="thin">
          <color rgb="FFA9BED3"/>
        </right>
        <top/>
        <bottom/>
        <vertical style="thin">
          <color rgb="FFA9BED3"/>
        </vertical>
        <horizontal style="thin">
          <color indexed="64"/>
        </horizontal>
      </border>
    </dxf>
    <dxf>
      <border>
        <bottom style="thin">
          <color rgb="FFA9BED3"/>
        </bottom>
      </border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color rgb="FF9C0006"/>
      </font>
      <fill>
        <patternFill>
          <bgColor rgb="FFF4CCCC"/>
        </patternFill>
      </fill>
    </dxf>
    <dxf>
      <font>
        <color rgb="FF595959"/>
      </font>
      <fill>
        <patternFill>
          <bgColor rgb="FFE7E6E6"/>
        </patternFill>
      </fill>
    </dxf>
    <dxf>
      <font>
        <color rgb="FF9C5700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color rgb="FF9C0006"/>
      </font>
      <fill>
        <patternFill>
          <bgColor rgb="FFF4CCCC"/>
        </patternFill>
      </fill>
    </dxf>
    <dxf>
      <font>
        <color rgb="FF595959"/>
      </font>
      <fill>
        <patternFill>
          <bgColor rgb="FFE7E6E6"/>
        </patternFill>
      </fill>
    </dxf>
    <dxf>
      <font>
        <color rgb="FF9C5700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color rgb="FF9C0006"/>
      </font>
      <fill>
        <patternFill>
          <bgColor rgb="FFF4CCCC"/>
        </patternFill>
      </fill>
    </dxf>
    <dxf>
      <font>
        <color rgb="FF595959"/>
      </font>
      <fill>
        <patternFill>
          <bgColor rgb="FFE7E6E6"/>
        </patternFill>
      </fill>
    </dxf>
    <dxf>
      <font>
        <color rgb="FF9C5700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color rgb="FF9C0006"/>
      </font>
      <fill>
        <patternFill>
          <bgColor rgb="FFF4CCCC"/>
        </patternFill>
      </fill>
    </dxf>
    <dxf>
      <font>
        <color rgb="FF595959"/>
      </font>
      <fill>
        <patternFill>
          <bgColor rgb="FFE7E6E6"/>
        </patternFill>
      </fill>
    </dxf>
    <dxf>
      <font>
        <color rgb="FF9C5700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epChecklistTable" displayName="PrepChecklistTable" ref="A6:N65" totalsRowShown="0" headerRowDxfId="32" dataDxfId="31" headerRowBorderDxfId="33">
  <tableColumns count="14">
    <tableColumn id="1" xr3:uid="{00000000-0010-0000-0000-000001000000}" name="核验编号" dataDxfId="17"/>
    <tableColumn id="2" xr3:uid="{00000000-0010-0000-0000-000002000000}" name="执行顺序" dataDxfId="18"/>
    <tableColumn id="3" xr3:uid="{00000000-0010-0000-0000-000003000000}" name="核验等级" dataDxfId="26"/>
    <tableColumn id="4" xr3:uid="{00000000-0010-0000-0000-000004000000}" name="主执行岗位" dataDxfId="25"/>
    <tableColumn id="5" xr3:uid="{00000000-0010-0000-0000-000005000000}" name="核验事项" dataDxfId="24"/>
    <tableColumn id="6" xr3:uid="{00000000-0010-0000-0000-000006000000}" name="去哪里操作" dataDxfId="23"/>
    <tableColumn id="7" xr3:uid="{00000000-0010-0000-0000-000007000000}" name="操作步骤（含配合岗位）" dataDxfId="22"/>
    <tableColumn id="8" xr3:uid="{00000000-0010-0000-0000-000008000000}" name="通过标准" dataDxfId="21"/>
    <tableColumn id="9" xr3:uid="{00000000-0010-0000-0000-000009000000}" name="证据要求" dataDxfId="19"/>
    <tableColumn id="10" xr3:uid="{00000000-0010-0000-0000-00000A000000}" name="实际结果" dataDxfId="20"/>
    <tableColumn id="11" xr3:uid="{00000000-0010-0000-0000-00000B000000}" name="核验结论" dataDxfId="30"/>
    <tableColumn id="12" xr3:uid="{00000000-0010-0000-0000-00000C000000}" name="问题编号/异常说明" dataDxfId="29"/>
    <tableColumn id="13" xr3:uid="{00000000-0010-0000-0000-00000D000000}" name="执行人及日期" dataDxfId="27"/>
    <tableColumn id="14" xr3:uid="{00000000-0010-0000-0000-00000E000000}" name="证据路径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lowChecklistTable" displayName="FlowChecklistTable" ref="A6:N69" totalsRowShown="0" headerRowDxfId="15" dataDxfId="14" headerRowBorderDxfId="16">
  <tableColumns count="14">
    <tableColumn id="1" xr3:uid="{00000000-0010-0000-0100-000001000000}" name="核验编号" dataDxfId="0"/>
    <tableColumn id="2" xr3:uid="{00000000-0010-0000-0100-000002000000}" name="执行顺序" dataDxfId="1"/>
    <tableColumn id="3" xr3:uid="{00000000-0010-0000-0100-000003000000}" name="核验等级" dataDxfId="9"/>
    <tableColumn id="4" xr3:uid="{00000000-0010-0000-0100-000004000000}" name="主执行岗位" dataDxfId="8"/>
    <tableColumn id="5" xr3:uid="{00000000-0010-0000-0100-000005000000}" name="核验事项" dataDxfId="7"/>
    <tableColumn id="6" xr3:uid="{00000000-0010-0000-0100-000006000000}" name="去哪里操作" dataDxfId="6"/>
    <tableColumn id="7" xr3:uid="{00000000-0010-0000-0100-000007000000}" name="操作步骤（含配合岗位）" dataDxfId="5"/>
    <tableColumn id="8" xr3:uid="{00000000-0010-0000-0100-000008000000}" name="通过标准" dataDxfId="4"/>
    <tableColumn id="9" xr3:uid="{00000000-0010-0000-0100-000009000000}" name="证据要求" dataDxfId="2"/>
    <tableColumn id="10" xr3:uid="{00000000-0010-0000-0100-00000A000000}" name="实际结果" dataDxfId="3"/>
    <tableColumn id="11" xr3:uid="{00000000-0010-0000-0100-00000B000000}" name="核验结论" dataDxfId="13"/>
    <tableColumn id="12" xr3:uid="{00000000-0010-0000-0100-00000C000000}" name="问题编号/异常说明" dataDxfId="12"/>
    <tableColumn id="13" xr3:uid="{00000000-0010-0000-0100-00000D000000}" name="执行人及日期" dataDxfId="10"/>
    <tableColumn id="14" xr3:uid="{00000000-0010-0000-0100-00000E000000}" name="证据路径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8"/>
  <sheetViews>
    <sheetView showGridLines="0" tabSelected="1" view="pageLayout" zoomScale="90" zoomScalePageLayoutView="90" workbookViewId="0">
      <selection sqref="A1:H1"/>
    </sheetView>
  </sheetViews>
  <sheetFormatPr defaultRowHeight="14"/>
  <cols>
    <col min="1" max="1" width="28" customWidth="1"/>
    <col min="2" max="2" width="30" customWidth="1"/>
    <col min="3" max="3" width="46" customWidth="1"/>
    <col min="4" max="4" width="4" customWidth="1"/>
    <col min="5" max="5" width="24" customWidth="1"/>
    <col min="6" max="6" width="18" customWidth="1"/>
    <col min="7" max="7" width="22" customWidth="1"/>
    <col min="8" max="8" width="28" customWidth="1"/>
  </cols>
  <sheetData>
    <row r="1" spans="1:8" ht="34" customHeight="1">
      <c r="A1" s="2" t="s">
        <v>0</v>
      </c>
      <c r="B1" s="3"/>
      <c r="C1" s="3"/>
      <c r="D1" s="3"/>
      <c r="E1" s="3"/>
      <c r="F1" s="3"/>
      <c r="G1" s="3"/>
      <c r="H1" s="3"/>
    </row>
    <row r="2" spans="1:8" ht="26" customHeight="1">
      <c r="A2" s="5" t="s">
        <v>1</v>
      </c>
      <c r="B2" s="6" t="s">
        <v>2</v>
      </c>
      <c r="C2" s="7"/>
      <c r="D2" s="7"/>
      <c r="E2" s="5" t="s">
        <v>3</v>
      </c>
      <c r="F2" s="8" t="s">
        <v>4</v>
      </c>
      <c r="G2" s="5" t="s">
        <v>5</v>
      </c>
      <c r="H2" s="8" t="s">
        <v>6</v>
      </c>
    </row>
    <row r="3" spans="1:8" ht="36" customHeight="1">
      <c r="A3" s="5" t="s">
        <v>7</v>
      </c>
      <c r="B3" s="6" t="s">
        <v>8</v>
      </c>
      <c r="C3" s="9"/>
      <c r="D3" s="5" t="s">
        <v>9</v>
      </c>
      <c r="E3" s="10" t="s">
        <v>10</v>
      </c>
      <c r="F3" s="11"/>
      <c r="G3" s="11"/>
      <c r="H3" s="11"/>
    </row>
    <row r="4" spans="1:8" ht="8" customHeight="1">
      <c r="A4" s="1"/>
      <c r="B4" s="1"/>
      <c r="C4" s="1"/>
      <c r="D4" s="1"/>
      <c r="E4" s="1"/>
      <c r="F4" s="1"/>
      <c r="G4" s="1"/>
      <c r="H4" s="1"/>
    </row>
    <row r="5" spans="1:8" ht="28" customHeight="1">
      <c r="A5" s="12" t="s">
        <v>11</v>
      </c>
      <c r="B5" s="12" t="s">
        <v>12</v>
      </c>
      <c r="C5" s="12" t="s">
        <v>13</v>
      </c>
      <c r="D5" s="1"/>
      <c r="E5" s="12" t="s">
        <v>14</v>
      </c>
      <c r="F5" s="12" t="s">
        <v>15</v>
      </c>
      <c r="G5" s="12" t="s">
        <v>16</v>
      </c>
      <c r="H5" s="12" t="s">
        <v>17</v>
      </c>
    </row>
    <row r="6" spans="1:8" ht="28" customHeight="1">
      <c r="A6" s="13" t="s">
        <v>18</v>
      </c>
      <c r="B6" s="14">
        <f>COUNTA(上线准备检查!$A$7:$A$65)+COUNTA(业务流程核验!$A$7:$A$69)</f>
        <v>122</v>
      </c>
      <c r="C6" s="15" t="s">
        <v>19</v>
      </c>
      <c r="D6" s="1"/>
      <c r="E6" s="13" t="s">
        <v>20</v>
      </c>
      <c r="F6" s="18">
        <f>COUNTA(上线准备检查!$A$7:$A$65)</f>
        <v>59</v>
      </c>
      <c r="G6" s="18">
        <f>COUNTIF(上线准备检查!$K$7:$K$65,"&lt;&gt;未核验")</f>
        <v>0</v>
      </c>
      <c r="H6" s="18">
        <f>COUNTIF(上线准备检查!$K$7:$K$65,"不通过")+COUNTIF(上线准备检查!$K$7:$K$65,"阻塞")+COUNTIF(上线准备检查!$K$7:$K$65,"待确认")</f>
        <v>0</v>
      </c>
    </row>
    <row r="7" spans="1:8" ht="28" customHeight="1">
      <c r="A7" s="16" t="s">
        <v>21</v>
      </c>
      <c r="B7" s="14">
        <f>COUNTIF(上线准备检查!$K$7:$K$65,"&lt;&gt;未核验")+COUNTIF(业务流程核验!$K$7:$K$69,"&lt;&gt;未核验")</f>
        <v>0</v>
      </c>
      <c r="C7" s="15" t="s">
        <v>22</v>
      </c>
      <c r="D7" s="1"/>
      <c r="E7" s="16" t="s">
        <v>23</v>
      </c>
      <c r="F7" s="18">
        <f>COUNTA(业务流程核验!$A$7:$A$69)</f>
        <v>63</v>
      </c>
      <c r="G7" s="18">
        <f>COUNTIF(业务流程核验!$K$7:$K$69,"&lt;&gt;未核验")</f>
        <v>0</v>
      </c>
      <c r="H7" s="18">
        <f>COUNTIF(业务流程核验!$K$7:$K$69,"不通过")+COUNTIF(业务流程核验!$K$7:$K$69,"阻塞")+COUNTIF(业务流程核验!$K$7:$K$69,"待确认")</f>
        <v>0</v>
      </c>
    </row>
    <row r="8" spans="1:8" ht="28" customHeight="1">
      <c r="A8" s="16" t="s">
        <v>24</v>
      </c>
      <c r="B8" s="14">
        <f>COUNTIF(上线准备检查!$K$7:$K$65,"通过")+COUNTIF(业务流程核验!$K$7:$K$69,"通过")</f>
        <v>0</v>
      </c>
      <c r="C8" s="15" t="s">
        <v>25</v>
      </c>
      <c r="D8" s="1"/>
      <c r="E8" s="19"/>
      <c r="F8" s="20"/>
      <c r="G8" s="20"/>
      <c r="H8" s="20"/>
    </row>
    <row r="9" spans="1:8" ht="28" customHeight="1">
      <c r="A9" s="16" t="s">
        <v>26</v>
      </c>
      <c r="B9" s="14">
        <f>COUNTIF(上线准备检查!$K$7:$K$65,"不通过")+COUNTIF(上线准备检查!$K$7:$K$65,"阻塞")+COUNTIF(上线准备检查!$K$7:$K$65,"待确认")+COUNTIF(业务流程核验!$K$7:$K$69,"不通过")+COUNTIF(业务流程核验!$K$7:$K$69,"阻塞")+COUNTIF(业务流程核验!$K$7:$K$69,"待确认")</f>
        <v>0</v>
      </c>
      <c r="C9" s="15" t="s">
        <v>27</v>
      </c>
      <c r="D9" s="1"/>
      <c r="E9" s="31" t="s">
        <v>28</v>
      </c>
      <c r="F9" s="32"/>
      <c r="G9" s="32"/>
      <c r="H9" s="32"/>
    </row>
    <row r="10" spans="1:8" ht="28" customHeight="1">
      <c r="A10" s="16" t="s">
        <v>29</v>
      </c>
      <c r="B10" s="14">
        <f>COUNTIFS(上线准备检查!$C$7:$C$65,"A-上线阻断",上线准备检查!$K$7:$K$65,"未核验")+COUNTIFS(上线准备检查!$C$7:$C$65,"A-上线阻断",上线准备检查!$K$7:$K$65,"不通过")+COUNTIFS(上线准备检查!$C$7:$C$65,"A-上线阻断",上线准备检查!$K$7:$K$65,"阻塞")+COUNTIFS(上线准备检查!$C$7:$C$65,"A-上线阻断",上线准备检查!$K$7:$K$65,"待确认")+COUNTIFS(业务流程核验!$C$7:$C$69,"A-上线阻断",业务流程核验!$K$7:$K$69,"未核验")+COUNTIFS(业务流程核验!$C$7:$C$69,"A-上线阻断",业务流程核验!$K$7:$K$69,"不通过")+COUNTIFS(业务流程核验!$C$7:$C$69,"A-上线阻断",业务流程核验!$K$7:$K$69,"阻塞")+COUNTIFS(业务流程核验!$C$7:$C$69,"A-上线阻断",业务流程核验!$K$7:$K$69,"待确认")</f>
        <v>37</v>
      </c>
      <c r="C10" s="15" t="s">
        <v>30</v>
      </c>
      <c r="D10" s="1"/>
      <c r="E10" s="33" t="s">
        <v>31</v>
      </c>
      <c r="F10" s="21" t="s">
        <v>32</v>
      </c>
      <c r="G10" s="22" t="s">
        <v>33</v>
      </c>
      <c r="H10" s="23"/>
    </row>
    <row r="11" spans="1:8" ht="28" customHeight="1">
      <c r="A11" s="16" t="s">
        <v>34</v>
      </c>
      <c r="B11" s="14">
        <f>COUNTIFS(上线准备检查!$C$7:$C$65,"B-上线必做",上线准备检查!$K$7:$K$65,"未核验")+COUNTIFS(上线准备检查!$C$7:$C$65,"B-上线必做",上线准备检查!$K$7:$K$65,"阻塞")+COUNTIFS(上线准备检查!$C$7:$C$65,"B-上线必做",上线准备检查!$K$7:$K$65,"待确认")+COUNTIFS(业务流程核验!$C$7:$C$69,"B-上线必做",业务流程核验!$K$7:$K$69,"未核验")+COUNTIFS(业务流程核验!$C$7:$C$69,"B-上线必做",业务流程核验!$K$7:$K$69,"阻塞")+COUNTIFS(业务流程核验!$C$7:$C$69,"B-上线必做",业务流程核验!$K$7:$K$69,"待确认")</f>
        <v>53</v>
      </c>
      <c r="C11" s="15" t="s">
        <v>35</v>
      </c>
      <c r="D11" s="1"/>
      <c r="E11" s="34" t="s">
        <v>36</v>
      </c>
      <c r="F11" s="24" t="s">
        <v>37</v>
      </c>
      <c r="G11" s="25" t="s">
        <v>38</v>
      </c>
      <c r="H11" s="23"/>
    </row>
    <row r="12" spans="1:8" ht="28" customHeight="1">
      <c r="A12" s="16" t="s">
        <v>39</v>
      </c>
      <c r="B12" s="17">
        <f>IFERROR(B7/B6,0)</f>
        <v>0</v>
      </c>
      <c r="C12" s="15" t="s">
        <v>40</v>
      </c>
      <c r="D12" s="1"/>
      <c r="E12" s="35" t="s">
        <v>41</v>
      </c>
      <c r="F12" s="26" t="s">
        <v>42</v>
      </c>
      <c r="G12" s="27" t="s">
        <v>43</v>
      </c>
      <c r="H12" s="23"/>
    </row>
    <row r="13" spans="1:8" ht="28" customHeight="1">
      <c r="A13" s="16" t="s">
        <v>44</v>
      </c>
      <c r="B13" s="30" t="str">
        <f>IF(B10&gt;0,"A项未完成或存在异常",IF(B11&gt;0,"B项未完成或阻塞",IF(B9&gt;0,"存在异常，交项目经理处理",IF(B7&lt;B6,"核验未完成","核验完成，提交项目经理确认"))))</f>
        <v>A项未完成或存在异常</v>
      </c>
      <c r="C13" s="15" t="s">
        <v>45</v>
      </c>
      <c r="D13" s="1"/>
      <c r="E13" s="36" t="s">
        <v>46</v>
      </c>
      <c r="F13" s="28" t="s">
        <v>47</v>
      </c>
      <c r="G13" s="29" t="s">
        <v>48</v>
      </c>
      <c r="H13" s="23"/>
    </row>
    <row r="14" spans="1:8" ht="28" customHeight="1">
      <c r="A14" s="37" t="s">
        <v>49</v>
      </c>
      <c r="B14" s="38" t="s">
        <v>50</v>
      </c>
      <c r="C14" s="39" t="s">
        <v>51</v>
      </c>
      <c r="D14" s="1"/>
      <c r="E14" s="1"/>
      <c r="F14" s="1"/>
      <c r="G14" s="1"/>
      <c r="H14" s="1"/>
    </row>
    <row r="15" spans="1:8" ht="36" customHeight="1">
      <c r="A15" s="41" t="s">
        <v>52</v>
      </c>
      <c r="B15" s="42" t="s">
        <v>53</v>
      </c>
      <c r="C15" s="43"/>
      <c r="D15" s="43"/>
      <c r="E15" s="43"/>
      <c r="F15" s="43"/>
      <c r="G15" s="43"/>
      <c r="H15" s="43"/>
    </row>
    <row r="16" spans="1:8" ht="42" customHeight="1">
      <c r="A16" s="44" t="s">
        <v>54</v>
      </c>
      <c r="B16" s="45" t="s">
        <v>55</v>
      </c>
      <c r="C16" s="46"/>
      <c r="D16" s="46"/>
      <c r="E16" s="44" t="s">
        <v>56</v>
      </c>
      <c r="F16" s="45" t="s">
        <v>55</v>
      </c>
      <c r="G16" s="46"/>
      <c r="H16" s="46"/>
    </row>
    <row r="17" spans="1:8" ht="34" customHeight="1">
      <c r="A17" s="44" t="s">
        <v>57</v>
      </c>
      <c r="B17" s="45" t="s">
        <v>58</v>
      </c>
      <c r="C17" s="46"/>
      <c r="D17" s="46"/>
      <c r="E17" s="44" t="s">
        <v>59</v>
      </c>
      <c r="F17" s="45" t="s">
        <v>58</v>
      </c>
      <c r="G17" s="46"/>
      <c r="H17" s="46"/>
    </row>
    <row r="18" spans="1:8" ht="28" customHeight="1">
      <c r="A18" s="44" t="s">
        <v>60</v>
      </c>
      <c r="B18" s="45" t="s">
        <v>6</v>
      </c>
      <c r="C18" s="46"/>
      <c r="D18" s="46"/>
      <c r="E18" s="44" t="s">
        <v>60</v>
      </c>
      <c r="F18" s="45" t="s">
        <v>6</v>
      </c>
      <c r="G18" s="46"/>
      <c r="H18" s="46"/>
    </row>
  </sheetData>
  <mergeCells count="16">
    <mergeCell ref="F18:H18"/>
    <mergeCell ref="B3:C3"/>
    <mergeCell ref="G10:H10"/>
    <mergeCell ref="G11:H11"/>
    <mergeCell ref="B17:D17"/>
    <mergeCell ref="B18:D18"/>
    <mergeCell ref="B16:D16"/>
    <mergeCell ref="B15:H15"/>
    <mergeCell ref="F17:H17"/>
    <mergeCell ref="G13:H13"/>
    <mergeCell ref="A1:H1"/>
    <mergeCell ref="F16:H16"/>
    <mergeCell ref="G12:H12"/>
    <mergeCell ref="E9:H9"/>
    <mergeCell ref="E3:H3"/>
    <mergeCell ref="B2:D2"/>
  </mergeCells>
  <phoneticPr fontId="2" type="noConversion"/>
  <conditionalFormatting sqref="B13">
    <cfRule type="expression" dxfId="58" priority="1">
      <formula>$B$13="核验完成，提交项目经理确认"</formula>
    </cfRule>
  </conditionalFormatting>
  <printOptions horizontalCentered="1"/>
  <pageMargins left="0.27559055118110232" right="0.27559055118110232" top="0.43307086614173229" bottom="0.43307086614173229" header="0.17716535433070868" footer="0.17716535433070868"/>
  <pageSetup paperSize="9" scale="65" fitToHeight="0" orientation="landscape" r:id="rId1"/>
  <headerFooter>
    <oddHeader>&amp;L&amp;B PIS 项目实施标准模板&amp;R版本 V1.0</oddHeader>
    <oddFooter>&amp;L湖北数智病理医学检验有限公司&amp;C汇总页&amp;R第 &amp;P 页 / 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65"/>
  <sheetViews>
    <sheetView showGridLines="0" zoomScale="85" zoomScaleNormal="85" workbookViewId="0">
      <selection sqref="A1:N1"/>
    </sheetView>
  </sheetViews>
  <sheetFormatPr defaultRowHeight="14"/>
  <cols>
    <col min="1" max="1" width="13" customWidth="1"/>
    <col min="2" max="3" width="15" customWidth="1"/>
    <col min="4" max="4" width="17" customWidth="1"/>
    <col min="5" max="5" width="26" customWidth="1"/>
    <col min="6" max="6" width="24" customWidth="1"/>
    <col min="7" max="7" width="50" customWidth="1"/>
    <col min="8" max="8" width="36" customWidth="1"/>
    <col min="9" max="9" width="24" customWidth="1"/>
    <col min="10" max="10" width="32" customWidth="1"/>
    <col min="11" max="11" width="13" customWidth="1"/>
    <col min="12" max="12" width="32" customWidth="1"/>
    <col min="13" max="13" width="20" customWidth="1"/>
    <col min="14" max="14" width="38" customWidth="1"/>
  </cols>
  <sheetData>
    <row r="1" spans="1:14" ht="34" customHeight="1">
      <c r="A1" s="2" t="s">
        <v>61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26" customHeight="1">
      <c r="A2" s="4" t="s">
        <v>15</v>
      </c>
      <c r="B2" s="47">
        <f>COUNTA($A$7:$A$65)</f>
        <v>59</v>
      </c>
      <c r="C2" s="4" t="s">
        <v>62</v>
      </c>
      <c r="D2" s="47">
        <f>COUNTIF($C$7:$C$65,"A-上线阻断")</f>
        <v>22</v>
      </c>
      <c r="E2" s="4" t="s">
        <v>63</v>
      </c>
      <c r="F2" s="47">
        <f>COUNTIF($C$7:$C$65,"B-上线必做")</f>
        <v>18</v>
      </c>
      <c r="G2" s="4" t="s">
        <v>64</v>
      </c>
      <c r="H2" s="47">
        <f>COUNTIF($C$7:$C$65,"C-抽查优化")</f>
        <v>19</v>
      </c>
      <c r="I2" s="4" t="s">
        <v>16</v>
      </c>
      <c r="J2" s="47">
        <f>COUNTIF($K$7:$K$65,"&lt;&gt;未核验")</f>
        <v>0</v>
      </c>
      <c r="K2" s="4" t="s">
        <v>17</v>
      </c>
      <c r="L2" s="47">
        <f>COUNTIF($K$7:$K$65,"不通过")+COUNTIF($K$7:$K$65,"阻塞")+COUNTIF($K$7:$K$65,"待确认")</f>
        <v>0</v>
      </c>
      <c r="M2" s="4" t="s">
        <v>65</v>
      </c>
      <c r="N2" s="47" t="str">
        <f>IF(COUNTIF($K$7:$K$65,"未核验")&gt;0,"核验未完成",IF(L2&gt;0,"存在异常，交项目经理处理",IF(COUNTIFS($K$7:$K$65,"通过",$J$7:$J$65,"")+COUNTIFS($K$7:$K$65,"通过",$M$7:$M$65,"")+COUNTIFS($K$7:$K$65,"通过",$N$7:$N$65,"")&gt;0,"填写不完整","本部分核验完成")))</f>
        <v>核验未完成</v>
      </c>
    </row>
    <row r="3" spans="1:14" ht="28" customHeight="1">
      <c r="A3" s="40" t="s">
        <v>66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</row>
    <row r="4" spans="1:14" ht="36" customHeight="1">
      <c r="A4" s="49" t="s">
        <v>67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</row>
    <row r="5" spans="1:14" ht="36" customHeight="1">
      <c r="A5" s="51" t="s">
        <v>68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</row>
    <row r="6" spans="1:14" ht="34" customHeight="1">
      <c r="A6" s="12" t="s">
        <v>69</v>
      </c>
      <c r="B6" s="53" t="s">
        <v>70</v>
      </c>
      <c r="C6" s="53" t="s">
        <v>71</v>
      </c>
      <c r="D6" s="53" t="s">
        <v>72</v>
      </c>
      <c r="E6" s="53" t="s">
        <v>73</v>
      </c>
      <c r="F6" s="53" t="s">
        <v>74</v>
      </c>
      <c r="G6" s="53" t="s">
        <v>75</v>
      </c>
      <c r="H6" s="53" t="s">
        <v>76</v>
      </c>
      <c r="I6" s="53" t="s">
        <v>77</v>
      </c>
      <c r="J6" s="53" t="s">
        <v>78</v>
      </c>
      <c r="K6" s="53" t="s">
        <v>79</v>
      </c>
      <c r="L6" s="53" t="s">
        <v>80</v>
      </c>
      <c r="M6" s="53" t="s">
        <v>81</v>
      </c>
      <c r="N6" s="53" t="s">
        <v>82</v>
      </c>
    </row>
    <row r="7" spans="1:14" ht="45" customHeight="1">
      <c r="A7" s="58" t="s">
        <v>83</v>
      </c>
      <c r="B7" s="56" t="s">
        <v>84</v>
      </c>
      <c r="C7" s="59" t="s">
        <v>85</v>
      </c>
      <c r="D7" s="56" t="s">
        <v>86</v>
      </c>
      <c r="E7" s="57" t="s">
        <v>87</v>
      </c>
      <c r="F7" s="57" t="s">
        <v>88</v>
      </c>
      <c r="G7" s="57" t="s">
        <v>89</v>
      </c>
      <c r="H7" s="57" t="s">
        <v>90</v>
      </c>
      <c r="I7" s="57" t="s">
        <v>91</v>
      </c>
      <c r="J7" s="54"/>
      <c r="K7" s="55" t="s">
        <v>92</v>
      </c>
      <c r="L7" s="54"/>
      <c r="M7" s="55"/>
      <c r="N7" s="54"/>
    </row>
    <row r="8" spans="1:14" ht="45" customHeight="1">
      <c r="A8" s="58" t="s">
        <v>93</v>
      </c>
      <c r="B8" s="56" t="s">
        <v>84</v>
      </c>
      <c r="C8" s="59" t="s">
        <v>85</v>
      </c>
      <c r="D8" s="56" t="s">
        <v>86</v>
      </c>
      <c r="E8" s="57" t="s">
        <v>94</v>
      </c>
      <c r="F8" s="57" t="s">
        <v>95</v>
      </c>
      <c r="G8" s="57" t="s">
        <v>96</v>
      </c>
      <c r="H8" s="57" t="s">
        <v>97</v>
      </c>
      <c r="I8" s="57" t="s">
        <v>98</v>
      </c>
      <c r="J8" s="54"/>
      <c r="K8" s="55" t="s">
        <v>92</v>
      </c>
      <c r="L8" s="54"/>
      <c r="M8" s="55"/>
      <c r="N8" s="54"/>
    </row>
    <row r="9" spans="1:14" ht="45" customHeight="1">
      <c r="A9" s="58" t="s">
        <v>99</v>
      </c>
      <c r="B9" s="56" t="s">
        <v>84</v>
      </c>
      <c r="C9" s="60" t="s">
        <v>100</v>
      </c>
      <c r="D9" s="56" t="s">
        <v>86</v>
      </c>
      <c r="E9" s="57" t="s">
        <v>101</v>
      </c>
      <c r="F9" s="57" t="s">
        <v>102</v>
      </c>
      <c r="G9" s="57" t="s">
        <v>103</v>
      </c>
      <c r="H9" s="57" t="s">
        <v>104</v>
      </c>
      <c r="I9" s="57" t="s">
        <v>105</v>
      </c>
      <c r="J9" s="54"/>
      <c r="K9" s="55" t="s">
        <v>92</v>
      </c>
      <c r="L9" s="54"/>
      <c r="M9" s="55"/>
      <c r="N9" s="54"/>
    </row>
    <row r="10" spans="1:14" ht="45" customHeight="1">
      <c r="A10" s="58" t="s">
        <v>106</v>
      </c>
      <c r="B10" s="56" t="s">
        <v>84</v>
      </c>
      <c r="C10" s="59" t="s">
        <v>85</v>
      </c>
      <c r="D10" s="56" t="s">
        <v>86</v>
      </c>
      <c r="E10" s="57" t="s">
        <v>107</v>
      </c>
      <c r="F10" s="57" t="s">
        <v>108</v>
      </c>
      <c r="G10" s="57" t="s">
        <v>109</v>
      </c>
      <c r="H10" s="57" t="s">
        <v>110</v>
      </c>
      <c r="I10" s="57" t="s">
        <v>111</v>
      </c>
      <c r="J10" s="54"/>
      <c r="K10" s="55" t="s">
        <v>92</v>
      </c>
      <c r="L10" s="54"/>
      <c r="M10" s="55"/>
      <c r="N10" s="54"/>
    </row>
    <row r="11" spans="1:14" ht="45" customHeight="1">
      <c r="A11" s="58" t="s">
        <v>112</v>
      </c>
      <c r="B11" s="56" t="s">
        <v>113</v>
      </c>
      <c r="C11" s="61" t="s">
        <v>114</v>
      </c>
      <c r="D11" s="56" t="s">
        <v>115</v>
      </c>
      <c r="E11" s="57" t="s">
        <v>116</v>
      </c>
      <c r="F11" s="57" t="s">
        <v>117</v>
      </c>
      <c r="G11" s="57" t="s">
        <v>118</v>
      </c>
      <c r="H11" s="57" t="s">
        <v>119</v>
      </c>
      <c r="I11" s="57" t="s">
        <v>120</v>
      </c>
      <c r="J11" s="54"/>
      <c r="K11" s="55" t="s">
        <v>92</v>
      </c>
      <c r="L11" s="54"/>
      <c r="M11" s="55"/>
      <c r="N11" s="54"/>
    </row>
    <row r="12" spans="1:14" ht="45" customHeight="1">
      <c r="A12" s="58" t="s">
        <v>121</v>
      </c>
      <c r="B12" s="56" t="s">
        <v>113</v>
      </c>
      <c r="C12" s="60" t="s">
        <v>100</v>
      </c>
      <c r="D12" s="56" t="s">
        <v>115</v>
      </c>
      <c r="E12" s="57" t="s">
        <v>122</v>
      </c>
      <c r="F12" s="57" t="s">
        <v>123</v>
      </c>
      <c r="G12" s="57" t="s">
        <v>124</v>
      </c>
      <c r="H12" s="57" t="s">
        <v>125</v>
      </c>
      <c r="I12" s="57" t="s">
        <v>126</v>
      </c>
      <c r="J12" s="54"/>
      <c r="K12" s="55" t="s">
        <v>92</v>
      </c>
      <c r="L12" s="54"/>
      <c r="M12" s="55"/>
      <c r="N12" s="54"/>
    </row>
    <row r="13" spans="1:14" ht="45" customHeight="1">
      <c r="A13" s="58" t="s">
        <v>127</v>
      </c>
      <c r="B13" s="56" t="s">
        <v>113</v>
      </c>
      <c r="C13" s="59" t="s">
        <v>85</v>
      </c>
      <c r="D13" s="56" t="s">
        <v>115</v>
      </c>
      <c r="E13" s="57" t="s">
        <v>128</v>
      </c>
      <c r="F13" s="57" t="s">
        <v>129</v>
      </c>
      <c r="G13" s="57" t="s">
        <v>130</v>
      </c>
      <c r="H13" s="57" t="s">
        <v>131</v>
      </c>
      <c r="I13" s="57" t="s">
        <v>132</v>
      </c>
      <c r="J13" s="54"/>
      <c r="K13" s="55" t="s">
        <v>92</v>
      </c>
      <c r="L13" s="54"/>
      <c r="M13" s="55"/>
      <c r="N13" s="54"/>
    </row>
    <row r="14" spans="1:14" ht="45" customHeight="1">
      <c r="A14" s="58" t="s">
        <v>133</v>
      </c>
      <c r="B14" s="56" t="s">
        <v>113</v>
      </c>
      <c r="C14" s="59" t="s">
        <v>85</v>
      </c>
      <c r="D14" s="56" t="s">
        <v>134</v>
      </c>
      <c r="E14" s="57" t="s">
        <v>135</v>
      </c>
      <c r="F14" s="57" t="s">
        <v>136</v>
      </c>
      <c r="G14" s="57" t="s">
        <v>137</v>
      </c>
      <c r="H14" s="57" t="s">
        <v>138</v>
      </c>
      <c r="I14" s="57" t="s">
        <v>139</v>
      </c>
      <c r="J14" s="54"/>
      <c r="K14" s="55" t="s">
        <v>92</v>
      </c>
      <c r="L14" s="54"/>
      <c r="M14" s="55"/>
      <c r="N14" s="54"/>
    </row>
    <row r="15" spans="1:14" ht="45" customHeight="1">
      <c r="A15" s="58" t="s">
        <v>140</v>
      </c>
      <c r="B15" s="56" t="s">
        <v>113</v>
      </c>
      <c r="C15" s="59" t="s">
        <v>85</v>
      </c>
      <c r="D15" s="56" t="s">
        <v>115</v>
      </c>
      <c r="E15" s="57" t="s">
        <v>141</v>
      </c>
      <c r="F15" s="57" t="s">
        <v>142</v>
      </c>
      <c r="G15" s="57" t="s">
        <v>143</v>
      </c>
      <c r="H15" s="57" t="s">
        <v>144</v>
      </c>
      <c r="I15" s="57" t="s">
        <v>145</v>
      </c>
      <c r="J15" s="54"/>
      <c r="K15" s="55" t="s">
        <v>92</v>
      </c>
      <c r="L15" s="54"/>
      <c r="M15" s="55"/>
      <c r="N15" s="54"/>
    </row>
    <row r="16" spans="1:14" ht="45" customHeight="1">
      <c r="A16" s="58" t="s">
        <v>146</v>
      </c>
      <c r="B16" s="56" t="s">
        <v>113</v>
      </c>
      <c r="C16" s="61" t="s">
        <v>114</v>
      </c>
      <c r="D16" s="56" t="s">
        <v>115</v>
      </c>
      <c r="E16" s="57" t="s">
        <v>147</v>
      </c>
      <c r="F16" s="57" t="s">
        <v>148</v>
      </c>
      <c r="G16" s="57" t="s">
        <v>149</v>
      </c>
      <c r="H16" s="57" t="s">
        <v>150</v>
      </c>
      <c r="I16" s="57" t="s">
        <v>151</v>
      </c>
      <c r="J16" s="54"/>
      <c r="K16" s="55" t="s">
        <v>92</v>
      </c>
      <c r="L16" s="54"/>
      <c r="M16" s="55"/>
      <c r="N16" s="54"/>
    </row>
    <row r="17" spans="1:14" ht="45" customHeight="1">
      <c r="A17" s="58" t="s">
        <v>152</v>
      </c>
      <c r="B17" s="56" t="s">
        <v>113</v>
      </c>
      <c r="C17" s="59" t="s">
        <v>85</v>
      </c>
      <c r="D17" s="56" t="s">
        <v>153</v>
      </c>
      <c r="E17" s="57" t="s">
        <v>154</v>
      </c>
      <c r="F17" s="57" t="s">
        <v>155</v>
      </c>
      <c r="G17" s="57" t="s">
        <v>156</v>
      </c>
      <c r="H17" s="57" t="s">
        <v>157</v>
      </c>
      <c r="I17" s="57" t="s">
        <v>158</v>
      </c>
      <c r="J17" s="54"/>
      <c r="K17" s="55" t="s">
        <v>92</v>
      </c>
      <c r="L17" s="54"/>
      <c r="M17" s="55"/>
      <c r="N17" s="54"/>
    </row>
    <row r="18" spans="1:14" ht="45" customHeight="1">
      <c r="A18" s="58" t="s">
        <v>159</v>
      </c>
      <c r="B18" s="56" t="s">
        <v>113</v>
      </c>
      <c r="C18" s="60" t="s">
        <v>100</v>
      </c>
      <c r="D18" s="56" t="s">
        <v>115</v>
      </c>
      <c r="E18" s="57" t="s">
        <v>160</v>
      </c>
      <c r="F18" s="57" t="s">
        <v>161</v>
      </c>
      <c r="G18" s="57" t="s">
        <v>162</v>
      </c>
      <c r="H18" s="57" t="s">
        <v>163</v>
      </c>
      <c r="I18" s="57" t="s">
        <v>164</v>
      </c>
      <c r="J18" s="54"/>
      <c r="K18" s="55" t="s">
        <v>92</v>
      </c>
      <c r="L18" s="54"/>
      <c r="M18" s="55"/>
      <c r="N18" s="54"/>
    </row>
    <row r="19" spans="1:14" ht="45" customHeight="1">
      <c r="A19" s="58" t="s">
        <v>165</v>
      </c>
      <c r="B19" s="56" t="s">
        <v>113</v>
      </c>
      <c r="C19" s="60" t="s">
        <v>100</v>
      </c>
      <c r="D19" s="56" t="s">
        <v>134</v>
      </c>
      <c r="E19" s="57" t="s">
        <v>166</v>
      </c>
      <c r="F19" s="57" t="s">
        <v>167</v>
      </c>
      <c r="G19" s="57" t="s">
        <v>168</v>
      </c>
      <c r="H19" s="57" t="s">
        <v>169</v>
      </c>
      <c r="I19" s="57" t="s">
        <v>170</v>
      </c>
      <c r="J19" s="54"/>
      <c r="K19" s="55" t="s">
        <v>92</v>
      </c>
      <c r="L19" s="54"/>
      <c r="M19" s="55"/>
      <c r="N19" s="54"/>
    </row>
    <row r="20" spans="1:14" ht="45" customHeight="1">
      <c r="A20" s="58" t="s">
        <v>171</v>
      </c>
      <c r="B20" s="56" t="s">
        <v>113</v>
      </c>
      <c r="C20" s="60" t="s">
        <v>100</v>
      </c>
      <c r="D20" s="56" t="s">
        <v>172</v>
      </c>
      <c r="E20" s="57" t="s">
        <v>173</v>
      </c>
      <c r="F20" s="57" t="s">
        <v>174</v>
      </c>
      <c r="G20" s="57" t="s">
        <v>175</v>
      </c>
      <c r="H20" s="57" t="s">
        <v>176</v>
      </c>
      <c r="I20" s="57" t="s">
        <v>177</v>
      </c>
      <c r="J20" s="54"/>
      <c r="K20" s="55" t="s">
        <v>92</v>
      </c>
      <c r="L20" s="54"/>
      <c r="M20" s="55"/>
      <c r="N20" s="54"/>
    </row>
    <row r="21" spans="1:14" ht="45" customHeight="1">
      <c r="A21" s="58" t="s">
        <v>178</v>
      </c>
      <c r="B21" s="56" t="s">
        <v>113</v>
      </c>
      <c r="C21" s="60" t="s">
        <v>100</v>
      </c>
      <c r="D21" s="56" t="s">
        <v>134</v>
      </c>
      <c r="E21" s="57" t="s">
        <v>179</v>
      </c>
      <c r="F21" s="57" t="s">
        <v>180</v>
      </c>
      <c r="G21" s="57" t="s">
        <v>181</v>
      </c>
      <c r="H21" s="57" t="s">
        <v>182</v>
      </c>
      <c r="I21" s="57" t="s">
        <v>183</v>
      </c>
      <c r="J21" s="54"/>
      <c r="K21" s="55" t="s">
        <v>92</v>
      </c>
      <c r="L21" s="54"/>
      <c r="M21" s="55"/>
      <c r="N21" s="54"/>
    </row>
    <row r="22" spans="1:14" ht="45" customHeight="1">
      <c r="A22" s="58" t="s">
        <v>184</v>
      </c>
      <c r="B22" s="56" t="s">
        <v>113</v>
      </c>
      <c r="C22" s="61" t="s">
        <v>114</v>
      </c>
      <c r="D22" s="56" t="s">
        <v>172</v>
      </c>
      <c r="E22" s="57" t="s">
        <v>185</v>
      </c>
      <c r="F22" s="57" t="s">
        <v>186</v>
      </c>
      <c r="G22" s="57" t="s">
        <v>187</v>
      </c>
      <c r="H22" s="57" t="s">
        <v>188</v>
      </c>
      <c r="I22" s="57" t="s">
        <v>189</v>
      </c>
      <c r="J22" s="54"/>
      <c r="K22" s="55" t="s">
        <v>92</v>
      </c>
      <c r="L22" s="54"/>
      <c r="M22" s="55"/>
      <c r="N22" s="54"/>
    </row>
    <row r="23" spans="1:14" ht="45" customHeight="1">
      <c r="A23" s="58" t="s">
        <v>190</v>
      </c>
      <c r="B23" s="56" t="s">
        <v>113</v>
      </c>
      <c r="C23" s="59" t="s">
        <v>85</v>
      </c>
      <c r="D23" s="56" t="s">
        <v>153</v>
      </c>
      <c r="E23" s="57" t="s">
        <v>191</v>
      </c>
      <c r="F23" s="57" t="s">
        <v>192</v>
      </c>
      <c r="G23" s="57" t="s">
        <v>193</v>
      </c>
      <c r="H23" s="57" t="s">
        <v>194</v>
      </c>
      <c r="I23" s="57" t="s">
        <v>195</v>
      </c>
      <c r="J23" s="54"/>
      <c r="K23" s="55" t="s">
        <v>92</v>
      </c>
      <c r="L23" s="54"/>
      <c r="M23" s="55"/>
      <c r="N23" s="54"/>
    </row>
    <row r="24" spans="1:14" ht="45" customHeight="1">
      <c r="A24" s="58" t="s">
        <v>196</v>
      </c>
      <c r="B24" s="56" t="s">
        <v>113</v>
      </c>
      <c r="C24" s="59" t="s">
        <v>85</v>
      </c>
      <c r="D24" s="56" t="s">
        <v>153</v>
      </c>
      <c r="E24" s="57" t="s">
        <v>197</v>
      </c>
      <c r="F24" s="57" t="s">
        <v>198</v>
      </c>
      <c r="G24" s="57" t="s">
        <v>199</v>
      </c>
      <c r="H24" s="57" t="s">
        <v>200</v>
      </c>
      <c r="I24" s="57" t="s">
        <v>201</v>
      </c>
      <c r="J24" s="54"/>
      <c r="K24" s="55" t="s">
        <v>92</v>
      </c>
      <c r="L24" s="54"/>
      <c r="M24" s="55"/>
      <c r="N24" s="54"/>
    </row>
    <row r="25" spans="1:14" ht="45" customHeight="1">
      <c r="A25" s="58" t="s">
        <v>202</v>
      </c>
      <c r="B25" s="56" t="s">
        <v>113</v>
      </c>
      <c r="C25" s="61" t="s">
        <v>114</v>
      </c>
      <c r="D25" s="56" t="s">
        <v>203</v>
      </c>
      <c r="E25" s="57" t="s">
        <v>204</v>
      </c>
      <c r="F25" s="57" t="s">
        <v>205</v>
      </c>
      <c r="G25" s="57" t="s">
        <v>206</v>
      </c>
      <c r="H25" s="57" t="s">
        <v>207</v>
      </c>
      <c r="I25" s="57" t="s">
        <v>208</v>
      </c>
      <c r="J25" s="54"/>
      <c r="K25" s="55" t="s">
        <v>92</v>
      </c>
      <c r="L25" s="54"/>
      <c r="M25" s="55"/>
      <c r="N25" s="54"/>
    </row>
    <row r="26" spans="1:14" ht="45" customHeight="1">
      <c r="A26" s="58" t="s">
        <v>209</v>
      </c>
      <c r="B26" s="56" t="s">
        <v>113</v>
      </c>
      <c r="C26" s="60" t="s">
        <v>100</v>
      </c>
      <c r="D26" s="56" t="s">
        <v>134</v>
      </c>
      <c r="E26" s="57" t="s">
        <v>210</v>
      </c>
      <c r="F26" s="57" t="s">
        <v>211</v>
      </c>
      <c r="G26" s="57" t="s">
        <v>212</v>
      </c>
      <c r="H26" s="57" t="s">
        <v>213</v>
      </c>
      <c r="I26" s="57" t="s">
        <v>214</v>
      </c>
      <c r="J26" s="54"/>
      <c r="K26" s="55" t="s">
        <v>92</v>
      </c>
      <c r="L26" s="54"/>
      <c r="M26" s="55"/>
      <c r="N26" s="54"/>
    </row>
    <row r="27" spans="1:14" ht="45" customHeight="1">
      <c r="A27" s="58" t="s">
        <v>215</v>
      </c>
      <c r="B27" s="56" t="s">
        <v>113</v>
      </c>
      <c r="C27" s="59" t="s">
        <v>85</v>
      </c>
      <c r="D27" s="56" t="s">
        <v>86</v>
      </c>
      <c r="E27" s="57" t="s">
        <v>216</v>
      </c>
      <c r="F27" s="57" t="s">
        <v>217</v>
      </c>
      <c r="G27" s="57" t="s">
        <v>218</v>
      </c>
      <c r="H27" s="57" t="s">
        <v>219</v>
      </c>
      <c r="I27" s="57" t="s">
        <v>220</v>
      </c>
      <c r="J27" s="54"/>
      <c r="K27" s="55" t="s">
        <v>92</v>
      </c>
      <c r="L27" s="54"/>
      <c r="M27" s="55"/>
      <c r="N27" s="54"/>
    </row>
    <row r="28" spans="1:14" ht="45" customHeight="1">
      <c r="A28" s="58" t="s">
        <v>221</v>
      </c>
      <c r="B28" s="56" t="s">
        <v>113</v>
      </c>
      <c r="C28" s="61" t="s">
        <v>114</v>
      </c>
      <c r="D28" s="56" t="s">
        <v>134</v>
      </c>
      <c r="E28" s="57" t="s">
        <v>222</v>
      </c>
      <c r="F28" s="57" t="s">
        <v>223</v>
      </c>
      <c r="G28" s="57" t="s">
        <v>224</v>
      </c>
      <c r="H28" s="57" t="s">
        <v>225</v>
      </c>
      <c r="I28" s="57" t="s">
        <v>226</v>
      </c>
      <c r="J28" s="54"/>
      <c r="K28" s="55" t="s">
        <v>92</v>
      </c>
      <c r="L28" s="54"/>
      <c r="M28" s="55"/>
      <c r="N28" s="54"/>
    </row>
    <row r="29" spans="1:14" ht="45" customHeight="1">
      <c r="A29" s="58" t="s">
        <v>227</v>
      </c>
      <c r="B29" s="56" t="s">
        <v>113</v>
      </c>
      <c r="C29" s="59" t="s">
        <v>85</v>
      </c>
      <c r="D29" s="56" t="s">
        <v>115</v>
      </c>
      <c r="E29" s="57" t="s">
        <v>228</v>
      </c>
      <c r="F29" s="57" t="s">
        <v>229</v>
      </c>
      <c r="G29" s="57" t="s">
        <v>230</v>
      </c>
      <c r="H29" s="57" t="s">
        <v>231</v>
      </c>
      <c r="I29" s="57" t="s">
        <v>232</v>
      </c>
      <c r="J29" s="54"/>
      <c r="K29" s="55" t="s">
        <v>92</v>
      </c>
      <c r="L29" s="54"/>
      <c r="M29" s="55"/>
      <c r="N29" s="54"/>
    </row>
    <row r="30" spans="1:14" ht="45" customHeight="1">
      <c r="A30" s="58" t="s">
        <v>233</v>
      </c>
      <c r="B30" s="56" t="s">
        <v>234</v>
      </c>
      <c r="C30" s="61" t="s">
        <v>114</v>
      </c>
      <c r="D30" s="56" t="s">
        <v>235</v>
      </c>
      <c r="E30" s="57" t="s">
        <v>236</v>
      </c>
      <c r="F30" s="57" t="s">
        <v>237</v>
      </c>
      <c r="G30" s="57" t="s">
        <v>238</v>
      </c>
      <c r="H30" s="57" t="s">
        <v>239</v>
      </c>
      <c r="I30" s="57" t="s">
        <v>240</v>
      </c>
      <c r="J30" s="54"/>
      <c r="K30" s="55" t="s">
        <v>92</v>
      </c>
      <c r="L30" s="54"/>
      <c r="M30" s="55"/>
      <c r="N30" s="54"/>
    </row>
    <row r="31" spans="1:14" ht="45" customHeight="1">
      <c r="A31" s="58" t="s">
        <v>241</v>
      </c>
      <c r="B31" s="56" t="s">
        <v>234</v>
      </c>
      <c r="C31" s="59" t="s">
        <v>85</v>
      </c>
      <c r="D31" s="56" t="s">
        <v>235</v>
      </c>
      <c r="E31" s="57" t="s">
        <v>242</v>
      </c>
      <c r="F31" s="57" t="s">
        <v>243</v>
      </c>
      <c r="G31" s="57" t="s">
        <v>244</v>
      </c>
      <c r="H31" s="57" t="s">
        <v>245</v>
      </c>
      <c r="I31" s="57" t="s">
        <v>246</v>
      </c>
      <c r="J31" s="54"/>
      <c r="K31" s="55" t="s">
        <v>92</v>
      </c>
      <c r="L31" s="54"/>
      <c r="M31" s="55"/>
      <c r="N31" s="54"/>
    </row>
    <row r="32" spans="1:14" ht="45" customHeight="1">
      <c r="A32" s="58" t="s">
        <v>247</v>
      </c>
      <c r="B32" s="56" t="s">
        <v>234</v>
      </c>
      <c r="C32" s="59" t="s">
        <v>85</v>
      </c>
      <c r="D32" s="56" t="s">
        <v>235</v>
      </c>
      <c r="E32" s="57" t="s">
        <v>248</v>
      </c>
      <c r="F32" s="57" t="s">
        <v>249</v>
      </c>
      <c r="G32" s="57" t="s">
        <v>250</v>
      </c>
      <c r="H32" s="57" t="s">
        <v>251</v>
      </c>
      <c r="I32" s="57" t="s">
        <v>252</v>
      </c>
      <c r="J32" s="54"/>
      <c r="K32" s="55" t="s">
        <v>92</v>
      </c>
      <c r="L32" s="54"/>
      <c r="M32" s="55"/>
      <c r="N32" s="54"/>
    </row>
    <row r="33" spans="1:14" ht="45" customHeight="1">
      <c r="A33" s="58" t="s">
        <v>253</v>
      </c>
      <c r="B33" s="56" t="s">
        <v>234</v>
      </c>
      <c r="C33" s="61" t="s">
        <v>114</v>
      </c>
      <c r="D33" s="56" t="s">
        <v>235</v>
      </c>
      <c r="E33" s="57" t="s">
        <v>254</v>
      </c>
      <c r="F33" s="57" t="s">
        <v>255</v>
      </c>
      <c r="G33" s="57" t="s">
        <v>256</v>
      </c>
      <c r="H33" s="57" t="s">
        <v>257</v>
      </c>
      <c r="I33" s="57" t="s">
        <v>258</v>
      </c>
      <c r="J33" s="54"/>
      <c r="K33" s="55" t="s">
        <v>92</v>
      </c>
      <c r="L33" s="54"/>
      <c r="M33" s="55"/>
      <c r="N33" s="54"/>
    </row>
    <row r="34" spans="1:14" ht="45" customHeight="1">
      <c r="A34" s="58" t="s">
        <v>259</v>
      </c>
      <c r="B34" s="56" t="s">
        <v>234</v>
      </c>
      <c r="C34" s="59" t="s">
        <v>85</v>
      </c>
      <c r="D34" s="56" t="s">
        <v>235</v>
      </c>
      <c r="E34" s="57" t="s">
        <v>260</v>
      </c>
      <c r="F34" s="57" t="s">
        <v>261</v>
      </c>
      <c r="G34" s="57" t="s">
        <v>262</v>
      </c>
      <c r="H34" s="57" t="s">
        <v>263</v>
      </c>
      <c r="I34" s="57" t="s">
        <v>264</v>
      </c>
      <c r="J34" s="54"/>
      <c r="K34" s="55" t="s">
        <v>92</v>
      </c>
      <c r="L34" s="54"/>
      <c r="M34" s="55"/>
      <c r="N34" s="54"/>
    </row>
    <row r="35" spans="1:14" ht="45" customHeight="1">
      <c r="A35" s="58" t="s">
        <v>265</v>
      </c>
      <c r="B35" s="56" t="s">
        <v>234</v>
      </c>
      <c r="C35" s="60" t="s">
        <v>100</v>
      </c>
      <c r="D35" s="56" t="s">
        <v>235</v>
      </c>
      <c r="E35" s="57" t="s">
        <v>266</v>
      </c>
      <c r="F35" s="57" t="s">
        <v>267</v>
      </c>
      <c r="G35" s="57" t="s">
        <v>268</v>
      </c>
      <c r="H35" s="57" t="s">
        <v>269</v>
      </c>
      <c r="I35" s="57" t="s">
        <v>270</v>
      </c>
      <c r="J35" s="54"/>
      <c r="K35" s="55" t="s">
        <v>92</v>
      </c>
      <c r="L35" s="54"/>
      <c r="M35" s="55"/>
      <c r="N35" s="54"/>
    </row>
    <row r="36" spans="1:14" ht="45" customHeight="1">
      <c r="A36" s="58" t="s">
        <v>271</v>
      </c>
      <c r="B36" s="56" t="s">
        <v>234</v>
      </c>
      <c r="C36" s="60" t="s">
        <v>100</v>
      </c>
      <c r="D36" s="56" t="s">
        <v>235</v>
      </c>
      <c r="E36" s="57" t="s">
        <v>272</v>
      </c>
      <c r="F36" s="57" t="s">
        <v>273</v>
      </c>
      <c r="G36" s="57" t="s">
        <v>274</v>
      </c>
      <c r="H36" s="57" t="s">
        <v>275</v>
      </c>
      <c r="I36" s="57" t="s">
        <v>276</v>
      </c>
      <c r="J36" s="54"/>
      <c r="K36" s="55" t="s">
        <v>92</v>
      </c>
      <c r="L36" s="54"/>
      <c r="M36" s="55"/>
      <c r="N36" s="54"/>
    </row>
    <row r="37" spans="1:14" ht="45" customHeight="1">
      <c r="A37" s="58" t="s">
        <v>277</v>
      </c>
      <c r="B37" s="56" t="s">
        <v>234</v>
      </c>
      <c r="C37" s="60" t="s">
        <v>100</v>
      </c>
      <c r="D37" s="56" t="s">
        <v>235</v>
      </c>
      <c r="E37" s="57" t="s">
        <v>278</v>
      </c>
      <c r="F37" s="57" t="s">
        <v>279</v>
      </c>
      <c r="G37" s="57" t="s">
        <v>280</v>
      </c>
      <c r="H37" s="57" t="s">
        <v>281</v>
      </c>
      <c r="I37" s="57" t="s">
        <v>282</v>
      </c>
      <c r="J37" s="54"/>
      <c r="K37" s="55" t="s">
        <v>92</v>
      </c>
      <c r="L37" s="54"/>
      <c r="M37" s="55"/>
      <c r="N37" s="54"/>
    </row>
    <row r="38" spans="1:14" ht="45" customHeight="1">
      <c r="A38" s="58" t="s">
        <v>283</v>
      </c>
      <c r="B38" s="56" t="s">
        <v>234</v>
      </c>
      <c r="C38" s="59" t="s">
        <v>85</v>
      </c>
      <c r="D38" s="56" t="s">
        <v>134</v>
      </c>
      <c r="E38" s="57" t="s">
        <v>284</v>
      </c>
      <c r="F38" s="57" t="s">
        <v>285</v>
      </c>
      <c r="G38" s="57" t="s">
        <v>286</v>
      </c>
      <c r="H38" s="57" t="s">
        <v>287</v>
      </c>
      <c r="I38" s="57" t="s">
        <v>288</v>
      </c>
      <c r="J38" s="54"/>
      <c r="K38" s="55" t="s">
        <v>92</v>
      </c>
      <c r="L38" s="54"/>
      <c r="M38" s="55"/>
      <c r="N38" s="54"/>
    </row>
    <row r="39" spans="1:14" ht="45" customHeight="1">
      <c r="A39" s="58" t="s">
        <v>289</v>
      </c>
      <c r="B39" s="56" t="s">
        <v>234</v>
      </c>
      <c r="C39" s="59" t="s">
        <v>85</v>
      </c>
      <c r="D39" s="56" t="s">
        <v>290</v>
      </c>
      <c r="E39" s="57" t="s">
        <v>291</v>
      </c>
      <c r="F39" s="57" t="s">
        <v>292</v>
      </c>
      <c r="G39" s="57" t="s">
        <v>293</v>
      </c>
      <c r="H39" s="57" t="s">
        <v>294</v>
      </c>
      <c r="I39" s="57" t="s">
        <v>295</v>
      </c>
      <c r="J39" s="54"/>
      <c r="K39" s="55" t="s">
        <v>92</v>
      </c>
      <c r="L39" s="54"/>
      <c r="M39" s="55"/>
      <c r="N39" s="54"/>
    </row>
    <row r="40" spans="1:14" ht="45" customHeight="1">
      <c r="A40" s="58" t="s">
        <v>296</v>
      </c>
      <c r="B40" s="56" t="s">
        <v>297</v>
      </c>
      <c r="C40" s="59" t="s">
        <v>85</v>
      </c>
      <c r="D40" s="56" t="s">
        <v>134</v>
      </c>
      <c r="E40" s="57" t="s">
        <v>298</v>
      </c>
      <c r="F40" s="57" t="s">
        <v>299</v>
      </c>
      <c r="G40" s="57" t="s">
        <v>300</v>
      </c>
      <c r="H40" s="57" t="s">
        <v>301</v>
      </c>
      <c r="I40" s="57" t="s">
        <v>302</v>
      </c>
      <c r="J40" s="54"/>
      <c r="K40" s="55" t="s">
        <v>92</v>
      </c>
      <c r="L40" s="54"/>
      <c r="M40" s="55"/>
      <c r="N40" s="54"/>
    </row>
    <row r="41" spans="1:14" ht="45" customHeight="1">
      <c r="A41" s="58" t="s">
        <v>303</v>
      </c>
      <c r="B41" s="56" t="s">
        <v>297</v>
      </c>
      <c r="C41" s="59" t="s">
        <v>85</v>
      </c>
      <c r="D41" s="56" t="s">
        <v>134</v>
      </c>
      <c r="E41" s="57" t="s">
        <v>304</v>
      </c>
      <c r="F41" s="57" t="s">
        <v>305</v>
      </c>
      <c r="G41" s="57" t="s">
        <v>306</v>
      </c>
      <c r="H41" s="57" t="s">
        <v>307</v>
      </c>
      <c r="I41" s="57" t="s">
        <v>308</v>
      </c>
      <c r="J41" s="54"/>
      <c r="K41" s="55" t="s">
        <v>92</v>
      </c>
      <c r="L41" s="54"/>
      <c r="M41" s="55"/>
      <c r="N41" s="54"/>
    </row>
    <row r="42" spans="1:14" ht="45" customHeight="1">
      <c r="A42" s="58" t="s">
        <v>309</v>
      </c>
      <c r="B42" s="56" t="s">
        <v>297</v>
      </c>
      <c r="C42" s="61" t="s">
        <v>114</v>
      </c>
      <c r="D42" s="56" t="s">
        <v>134</v>
      </c>
      <c r="E42" s="57" t="s">
        <v>310</v>
      </c>
      <c r="F42" s="57" t="s">
        <v>311</v>
      </c>
      <c r="G42" s="57" t="s">
        <v>312</v>
      </c>
      <c r="H42" s="57" t="s">
        <v>313</v>
      </c>
      <c r="I42" s="57" t="s">
        <v>314</v>
      </c>
      <c r="J42" s="54"/>
      <c r="K42" s="55" t="s">
        <v>92</v>
      </c>
      <c r="L42" s="54"/>
      <c r="M42" s="55"/>
      <c r="N42" s="54"/>
    </row>
    <row r="43" spans="1:14" ht="45" customHeight="1">
      <c r="A43" s="58" t="s">
        <v>315</v>
      </c>
      <c r="B43" s="56" t="s">
        <v>297</v>
      </c>
      <c r="C43" s="61" t="s">
        <v>114</v>
      </c>
      <c r="D43" s="56" t="s">
        <v>134</v>
      </c>
      <c r="E43" s="57" t="s">
        <v>316</v>
      </c>
      <c r="F43" s="57" t="s">
        <v>317</v>
      </c>
      <c r="G43" s="57" t="s">
        <v>318</v>
      </c>
      <c r="H43" s="57" t="s">
        <v>319</v>
      </c>
      <c r="I43" s="57" t="s">
        <v>320</v>
      </c>
      <c r="J43" s="54"/>
      <c r="K43" s="55" t="s">
        <v>92</v>
      </c>
      <c r="L43" s="54"/>
      <c r="M43" s="55"/>
      <c r="N43" s="54"/>
    </row>
    <row r="44" spans="1:14" ht="45" customHeight="1">
      <c r="A44" s="58" t="s">
        <v>321</v>
      </c>
      <c r="B44" s="56" t="s">
        <v>297</v>
      </c>
      <c r="C44" s="60" t="s">
        <v>100</v>
      </c>
      <c r="D44" s="56" t="s">
        <v>134</v>
      </c>
      <c r="E44" s="57" t="s">
        <v>322</v>
      </c>
      <c r="F44" s="57" t="s">
        <v>323</v>
      </c>
      <c r="G44" s="57" t="s">
        <v>324</v>
      </c>
      <c r="H44" s="57" t="s">
        <v>325</v>
      </c>
      <c r="I44" s="57" t="s">
        <v>326</v>
      </c>
      <c r="J44" s="54"/>
      <c r="K44" s="55" t="s">
        <v>92</v>
      </c>
      <c r="L44" s="54"/>
      <c r="M44" s="55"/>
      <c r="N44" s="54"/>
    </row>
    <row r="45" spans="1:14" ht="45" customHeight="1">
      <c r="A45" s="58" t="s">
        <v>327</v>
      </c>
      <c r="B45" s="56" t="s">
        <v>297</v>
      </c>
      <c r="C45" s="60" t="s">
        <v>100</v>
      </c>
      <c r="D45" s="56" t="s">
        <v>134</v>
      </c>
      <c r="E45" s="57" t="s">
        <v>328</v>
      </c>
      <c r="F45" s="57" t="s">
        <v>329</v>
      </c>
      <c r="G45" s="57" t="s">
        <v>330</v>
      </c>
      <c r="H45" s="57" t="s">
        <v>331</v>
      </c>
      <c r="I45" s="57" t="s">
        <v>332</v>
      </c>
      <c r="J45" s="54"/>
      <c r="K45" s="55" t="s">
        <v>92</v>
      </c>
      <c r="L45" s="54"/>
      <c r="M45" s="55"/>
      <c r="N45" s="54"/>
    </row>
    <row r="46" spans="1:14" ht="45" customHeight="1">
      <c r="A46" s="58" t="s">
        <v>333</v>
      </c>
      <c r="B46" s="56" t="s">
        <v>297</v>
      </c>
      <c r="C46" s="61" t="s">
        <v>114</v>
      </c>
      <c r="D46" s="56" t="s">
        <v>134</v>
      </c>
      <c r="E46" s="57" t="s">
        <v>334</v>
      </c>
      <c r="F46" s="57" t="s">
        <v>335</v>
      </c>
      <c r="G46" s="57" t="s">
        <v>336</v>
      </c>
      <c r="H46" s="57" t="s">
        <v>337</v>
      </c>
      <c r="I46" s="57" t="s">
        <v>338</v>
      </c>
      <c r="J46" s="54"/>
      <c r="K46" s="55" t="s">
        <v>92</v>
      </c>
      <c r="L46" s="54"/>
      <c r="M46" s="55"/>
      <c r="N46" s="54"/>
    </row>
    <row r="47" spans="1:14" ht="45" customHeight="1">
      <c r="A47" s="58" t="s">
        <v>339</v>
      </c>
      <c r="B47" s="56" t="s">
        <v>297</v>
      </c>
      <c r="C47" s="59" t="s">
        <v>85</v>
      </c>
      <c r="D47" s="56" t="s">
        <v>290</v>
      </c>
      <c r="E47" s="57" t="s">
        <v>340</v>
      </c>
      <c r="F47" s="57" t="s">
        <v>341</v>
      </c>
      <c r="G47" s="57" t="s">
        <v>342</v>
      </c>
      <c r="H47" s="57" t="s">
        <v>343</v>
      </c>
      <c r="I47" s="57" t="s">
        <v>344</v>
      </c>
      <c r="J47" s="54"/>
      <c r="K47" s="55" t="s">
        <v>92</v>
      </c>
      <c r="L47" s="54"/>
      <c r="M47" s="55"/>
      <c r="N47" s="54"/>
    </row>
    <row r="48" spans="1:14" ht="45" customHeight="1">
      <c r="A48" s="58" t="s">
        <v>345</v>
      </c>
      <c r="B48" s="56" t="s">
        <v>297</v>
      </c>
      <c r="C48" s="61" t="s">
        <v>114</v>
      </c>
      <c r="D48" s="56" t="s">
        <v>290</v>
      </c>
      <c r="E48" s="57" t="s">
        <v>346</v>
      </c>
      <c r="F48" s="57" t="s">
        <v>347</v>
      </c>
      <c r="G48" s="57" t="s">
        <v>348</v>
      </c>
      <c r="H48" s="57" t="s">
        <v>349</v>
      </c>
      <c r="I48" s="57" t="s">
        <v>350</v>
      </c>
      <c r="J48" s="54"/>
      <c r="K48" s="55" t="s">
        <v>92</v>
      </c>
      <c r="L48" s="54"/>
      <c r="M48" s="55"/>
      <c r="N48" s="54"/>
    </row>
    <row r="49" spans="1:14" ht="45" customHeight="1">
      <c r="A49" s="58" t="s">
        <v>351</v>
      </c>
      <c r="B49" s="56" t="s">
        <v>297</v>
      </c>
      <c r="C49" s="60" t="s">
        <v>100</v>
      </c>
      <c r="D49" s="56" t="s">
        <v>290</v>
      </c>
      <c r="E49" s="57" t="s">
        <v>352</v>
      </c>
      <c r="F49" s="57" t="s">
        <v>353</v>
      </c>
      <c r="G49" s="57" t="s">
        <v>354</v>
      </c>
      <c r="H49" s="57" t="s">
        <v>355</v>
      </c>
      <c r="I49" s="57" t="s">
        <v>356</v>
      </c>
      <c r="J49" s="54"/>
      <c r="K49" s="55" t="s">
        <v>92</v>
      </c>
      <c r="L49" s="54"/>
      <c r="M49" s="55"/>
      <c r="N49" s="54"/>
    </row>
    <row r="50" spans="1:14" ht="45" customHeight="1">
      <c r="A50" s="58" t="s">
        <v>357</v>
      </c>
      <c r="B50" s="56" t="s">
        <v>297</v>
      </c>
      <c r="C50" s="59" t="s">
        <v>85</v>
      </c>
      <c r="D50" s="56" t="s">
        <v>290</v>
      </c>
      <c r="E50" s="57" t="s">
        <v>358</v>
      </c>
      <c r="F50" s="57" t="s">
        <v>359</v>
      </c>
      <c r="G50" s="57" t="s">
        <v>360</v>
      </c>
      <c r="H50" s="57" t="s">
        <v>361</v>
      </c>
      <c r="I50" s="57" t="s">
        <v>344</v>
      </c>
      <c r="J50" s="54"/>
      <c r="K50" s="55" t="s">
        <v>92</v>
      </c>
      <c r="L50" s="54"/>
      <c r="M50" s="55"/>
      <c r="N50" s="54"/>
    </row>
    <row r="51" spans="1:14" ht="45" customHeight="1">
      <c r="A51" s="58" t="s">
        <v>362</v>
      </c>
      <c r="B51" s="56" t="s">
        <v>297</v>
      </c>
      <c r="C51" s="61" t="s">
        <v>114</v>
      </c>
      <c r="D51" s="56" t="s">
        <v>290</v>
      </c>
      <c r="E51" s="57" t="s">
        <v>363</v>
      </c>
      <c r="F51" s="57" t="s">
        <v>364</v>
      </c>
      <c r="G51" s="57" t="s">
        <v>365</v>
      </c>
      <c r="H51" s="57" t="s">
        <v>366</v>
      </c>
      <c r="I51" s="57" t="s">
        <v>367</v>
      </c>
      <c r="J51" s="54"/>
      <c r="K51" s="55" t="s">
        <v>92</v>
      </c>
      <c r="L51" s="54"/>
      <c r="M51" s="55"/>
      <c r="N51" s="54"/>
    </row>
    <row r="52" spans="1:14" ht="45" customHeight="1">
      <c r="A52" s="58" t="s">
        <v>368</v>
      </c>
      <c r="B52" s="56" t="s">
        <v>297</v>
      </c>
      <c r="C52" s="61" t="s">
        <v>114</v>
      </c>
      <c r="D52" s="56" t="s">
        <v>290</v>
      </c>
      <c r="E52" s="57" t="s">
        <v>369</v>
      </c>
      <c r="F52" s="57" t="s">
        <v>370</v>
      </c>
      <c r="G52" s="57" t="s">
        <v>371</v>
      </c>
      <c r="H52" s="57" t="s">
        <v>372</v>
      </c>
      <c r="I52" s="57" t="s">
        <v>373</v>
      </c>
      <c r="J52" s="54"/>
      <c r="K52" s="55" t="s">
        <v>92</v>
      </c>
      <c r="L52" s="54"/>
      <c r="M52" s="55"/>
      <c r="N52" s="54"/>
    </row>
    <row r="53" spans="1:14" ht="45" customHeight="1">
      <c r="A53" s="58" t="s">
        <v>374</v>
      </c>
      <c r="B53" s="56" t="s">
        <v>297</v>
      </c>
      <c r="C53" s="60" t="s">
        <v>100</v>
      </c>
      <c r="D53" s="56" t="s">
        <v>290</v>
      </c>
      <c r="E53" s="57" t="s">
        <v>375</v>
      </c>
      <c r="F53" s="57" t="s">
        <v>376</v>
      </c>
      <c r="G53" s="57" t="s">
        <v>377</v>
      </c>
      <c r="H53" s="57" t="s">
        <v>378</v>
      </c>
      <c r="I53" s="57" t="s">
        <v>379</v>
      </c>
      <c r="J53" s="54"/>
      <c r="K53" s="55" t="s">
        <v>92</v>
      </c>
      <c r="L53" s="54"/>
      <c r="M53" s="55"/>
      <c r="N53" s="54"/>
    </row>
    <row r="54" spans="1:14" ht="45" customHeight="1">
      <c r="A54" s="58" t="s">
        <v>380</v>
      </c>
      <c r="B54" s="56" t="s">
        <v>297</v>
      </c>
      <c r="C54" s="60" t="s">
        <v>100</v>
      </c>
      <c r="D54" s="56" t="s">
        <v>290</v>
      </c>
      <c r="E54" s="57" t="s">
        <v>381</v>
      </c>
      <c r="F54" s="57" t="s">
        <v>382</v>
      </c>
      <c r="G54" s="57" t="s">
        <v>383</v>
      </c>
      <c r="H54" s="57" t="s">
        <v>384</v>
      </c>
      <c r="I54" s="57" t="s">
        <v>385</v>
      </c>
      <c r="J54" s="54"/>
      <c r="K54" s="55" t="s">
        <v>92</v>
      </c>
      <c r="L54" s="54"/>
      <c r="M54" s="55"/>
      <c r="N54" s="54"/>
    </row>
    <row r="55" spans="1:14" ht="45" customHeight="1">
      <c r="A55" s="58" t="s">
        <v>386</v>
      </c>
      <c r="B55" s="56" t="s">
        <v>297</v>
      </c>
      <c r="C55" s="60" t="s">
        <v>100</v>
      </c>
      <c r="D55" s="56" t="s">
        <v>290</v>
      </c>
      <c r="E55" s="57" t="s">
        <v>387</v>
      </c>
      <c r="F55" s="57" t="s">
        <v>388</v>
      </c>
      <c r="G55" s="57" t="s">
        <v>389</v>
      </c>
      <c r="H55" s="57" t="s">
        <v>390</v>
      </c>
      <c r="I55" s="57" t="s">
        <v>391</v>
      </c>
      <c r="J55" s="54"/>
      <c r="K55" s="55" t="s">
        <v>92</v>
      </c>
      <c r="L55" s="54"/>
      <c r="M55" s="55"/>
      <c r="N55" s="54"/>
    </row>
    <row r="56" spans="1:14" ht="45" customHeight="1">
      <c r="A56" s="58" t="s">
        <v>392</v>
      </c>
      <c r="B56" s="56" t="s">
        <v>297</v>
      </c>
      <c r="C56" s="61" t="s">
        <v>114</v>
      </c>
      <c r="D56" s="56" t="s">
        <v>290</v>
      </c>
      <c r="E56" s="57" t="s">
        <v>393</v>
      </c>
      <c r="F56" s="57" t="s">
        <v>394</v>
      </c>
      <c r="G56" s="57" t="s">
        <v>395</v>
      </c>
      <c r="H56" s="57" t="s">
        <v>396</v>
      </c>
      <c r="I56" s="57" t="s">
        <v>397</v>
      </c>
      <c r="J56" s="54"/>
      <c r="K56" s="55" t="s">
        <v>92</v>
      </c>
      <c r="L56" s="54"/>
      <c r="M56" s="55"/>
      <c r="N56" s="54"/>
    </row>
    <row r="57" spans="1:14" ht="45" customHeight="1">
      <c r="A57" s="58" t="s">
        <v>398</v>
      </c>
      <c r="B57" s="56" t="s">
        <v>399</v>
      </c>
      <c r="C57" s="60" t="s">
        <v>100</v>
      </c>
      <c r="D57" s="56" t="s">
        <v>400</v>
      </c>
      <c r="E57" s="57" t="s">
        <v>401</v>
      </c>
      <c r="F57" s="57" t="s">
        <v>402</v>
      </c>
      <c r="G57" s="57" t="s">
        <v>403</v>
      </c>
      <c r="H57" s="57" t="s">
        <v>404</v>
      </c>
      <c r="I57" s="57" t="s">
        <v>405</v>
      </c>
      <c r="J57" s="54"/>
      <c r="K57" s="55" t="s">
        <v>92</v>
      </c>
      <c r="L57" s="54"/>
      <c r="M57" s="55"/>
      <c r="N57" s="54"/>
    </row>
    <row r="58" spans="1:14" ht="45" customHeight="1">
      <c r="A58" s="58" t="s">
        <v>406</v>
      </c>
      <c r="B58" s="56" t="s">
        <v>399</v>
      </c>
      <c r="C58" s="61" t="s">
        <v>114</v>
      </c>
      <c r="D58" s="56" t="s">
        <v>400</v>
      </c>
      <c r="E58" s="57" t="s">
        <v>407</v>
      </c>
      <c r="F58" s="57" t="s">
        <v>408</v>
      </c>
      <c r="G58" s="57" t="s">
        <v>409</v>
      </c>
      <c r="H58" s="57" t="s">
        <v>410</v>
      </c>
      <c r="I58" s="57" t="s">
        <v>411</v>
      </c>
      <c r="J58" s="54"/>
      <c r="K58" s="55" t="s">
        <v>92</v>
      </c>
      <c r="L58" s="54"/>
      <c r="M58" s="55"/>
      <c r="N58" s="54"/>
    </row>
    <row r="59" spans="1:14" ht="45" customHeight="1">
      <c r="A59" s="58" t="s">
        <v>412</v>
      </c>
      <c r="B59" s="56" t="s">
        <v>399</v>
      </c>
      <c r="C59" s="60" t="s">
        <v>100</v>
      </c>
      <c r="D59" s="56" t="s">
        <v>400</v>
      </c>
      <c r="E59" s="57" t="s">
        <v>413</v>
      </c>
      <c r="F59" s="57" t="s">
        <v>414</v>
      </c>
      <c r="G59" s="57" t="s">
        <v>415</v>
      </c>
      <c r="H59" s="57" t="s">
        <v>416</v>
      </c>
      <c r="I59" s="57" t="s">
        <v>417</v>
      </c>
      <c r="J59" s="54"/>
      <c r="K59" s="55" t="s">
        <v>92</v>
      </c>
      <c r="L59" s="54"/>
      <c r="M59" s="55"/>
      <c r="N59" s="54"/>
    </row>
    <row r="60" spans="1:14" ht="45" customHeight="1">
      <c r="A60" s="58" t="s">
        <v>418</v>
      </c>
      <c r="B60" s="56" t="s">
        <v>399</v>
      </c>
      <c r="C60" s="61" t="s">
        <v>114</v>
      </c>
      <c r="D60" s="56" t="s">
        <v>86</v>
      </c>
      <c r="E60" s="57" t="s">
        <v>419</v>
      </c>
      <c r="F60" s="57" t="s">
        <v>420</v>
      </c>
      <c r="G60" s="57" t="s">
        <v>421</v>
      </c>
      <c r="H60" s="57" t="s">
        <v>422</v>
      </c>
      <c r="I60" s="57" t="s">
        <v>423</v>
      </c>
      <c r="J60" s="54"/>
      <c r="K60" s="55" t="s">
        <v>92</v>
      </c>
      <c r="L60" s="54"/>
      <c r="M60" s="55"/>
      <c r="N60" s="54"/>
    </row>
    <row r="61" spans="1:14" ht="45" customHeight="1">
      <c r="A61" s="58" t="s">
        <v>424</v>
      </c>
      <c r="B61" s="56" t="s">
        <v>425</v>
      </c>
      <c r="C61" s="61" t="s">
        <v>114</v>
      </c>
      <c r="D61" s="56" t="s">
        <v>86</v>
      </c>
      <c r="E61" s="57" t="s">
        <v>426</v>
      </c>
      <c r="F61" s="57" t="s">
        <v>427</v>
      </c>
      <c r="G61" s="57" t="s">
        <v>428</v>
      </c>
      <c r="H61" s="57" t="s">
        <v>429</v>
      </c>
      <c r="I61" s="57" t="s">
        <v>430</v>
      </c>
      <c r="J61" s="54"/>
      <c r="K61" s="55" t="s">
        <v>92</v>
      </c>
      <c r="L61" s="54"/>
      <c r="M61" s="55"/>
      <c r="N61" s="54"/>
    </row>
    <row r="62" spans="1:14" ht="45" customHeight="1">
      <c r="A62" s="58" t="s">
        <v>431</v>
      </c>
      <c r="B62" s="56" t="s">
        <v>425</v>
      </c>
      <c r="C62" s="61" t="s">
        <v>114</v>
      </c>
      <c r="D62" s="56" t="s">
        <v>86</v>
      </c>
      <c r="E62" s="57" t="s">
        <v>432</v>
      </c>
      <c r="F62" s="57" t="s">
        <v>433</v>
      </c>
      <c r="G62" s="57" t="s">
        <v>434</v>
      </c>
      <c r="H62" s="57" t="s">
        <v>435</v>
      </c>
      <c r="I62" s="57" t="s">
        <v>436</v>
      </c>
      <c r="J62" s="54"/>
      <c r="K62" s="55" t="s">
        <v>92</v>
      </c>
      <c r="L62" s="54"/>
      <c r="M62" s="55"/>
      <c r="N62" s="54"/>
    </row>
    <row r="63" spans="1:14" ht="45" customHeight="1">
      <c r="A63" s="58" t="s">
        <v>437</v>
      </c>
      <c r="B63" s="56" t="s">
        <v>425</v>
      </c>
      <c r="C63" s="59" t="s">
        <v>85</v>
      </c>
      <c r="D63" s="56" t="s">
        <v>134</v>
      </c>
      <c r="E63" s="57" t="s">
        <v>438</v>
      </c>
      <c r="F63" s="57" t="s">
        <v>439</v>
      </c>
      <c r="G63" s="57" t="s">
        <v>440</v>
      </c>
      <c r="H63" s="57" t="s">
        <v>441</v>
      </c>
      <c r="I63" s="57" t="s">
        <v>442</v>
      </c>
      <c r="J63" s="54"/>
      <c r="K63" s="55" t="s">
        <v>92</v>
      </c>
      <c r="L63" s="54"/>
      <c r="M63" s="55"/>
      <c r="N63" s="54"/>
    </row>
    <row r="64" spans="1:14" ht="45" customHeight="1">
      <c r="A64" s="58" t="s">
        <v>443</v>
      </c>
      <c r="B64" s="56" t="s">
        <v>425</v>
      </c>
      <c r="C64" s="59" t="s">
        <v>85</v>
      </c>
      <c r="D64" s="56" t="s">
        <v>86</v>
      </c>
      <c r="E64" s="57" t="s">
        <v>444</v>
      </c>
      <c r="F64" s="57" t="s">
        <v>445</v>
      </c>
      <c r="G64" s="57" t="s">
        <v>446</v>
      </c>
      <c r="H64" s="57" t="s">
        <v>447</v>
      </c>
      <c r="I64" s="57" t="s">
        <v>448</v>
      </c>
      <c r="J64" s="54"/>
      <c r="K64" s="55" t="s">
        <v>92</v>
      </c>
      <c r="L64" s="54"/>
      <c r="M64" s="55"/>
      <c r="N64" s="54"/>
    </row>
    <row r="65" spans="1:14" ht="45" customHeight="1">
      <c r="A65" s="58" t="s">
        <v>449</v>
      </c>
      <c r="B65" s="56" t="s">
        <v>425</v>
      </c>
      <c r="C65" s="60" t="s">
        <v>100</v>
      </c>
      <c r="D65" s="56" t="s">
        <v>86</v>
      </c>
      <c r="E65" s="57" t="s">
        <v>450</v>
      </c>
      <c r="F65" s="57" t="s">
        <v>414</v>
      </c>
      <c r="G65" s="57" t="s">
        <v>451</v>
      </c>
      <c r="H65" s="57" t="s">
        <v>452</v>
      </c>
      <c r="I65" s="57" t="s">
        <v>453</v>
      </c>
      <c r="J65" s="54"/>
      <c r="K65" s="55" t="s">
        <v>92</v>
      </c>
      <c r="L65" s="54"/>
      <c r="M65" s="55"/>
      <c r="N65" s="54"/>
    </row>
  </sheetData>
  <mergeCells count="4">
    <mergeCell ref="A5:N5"/>
    <mergeCell ref="A4:N4"/>
    <mergeCell ref="A3:N3"/>
    <mergeCell ref="A1:N1"/>
  </mergeCells>
  <phoneticPr fontId="2" type="noConversion"/>
  <conditionalFormatting sqref="C7:C65">
    <cfRule type="containsText" dxfId="57" priority="3" operator="containsText" text="A-上线阻断"/>
    <cfRule type="containsText" dxfId="56" priority="4" operator="containsText" text="B-上线必做"/>
    <cfRule type="containsText" dxfId="55" priority="5" operator="containsText" text="C-抽查优化"/>
  </conditionalFormatting>
  <conditionalFormatting sqref="J7:N65">
    <cfRule type="expression" dxfId="54" priority="11">
      <formula>AND($K7="通过",OR($J7="",$M7="",$N7=""))</formula>
    </cfRule>
  </conditionalFormatting>
  <conditionalFormatting sqref="K7:K65">
    <cfRule type="expression" dxfId="53" priority="6">
      <formula>$K7="通过"</formula>
    </cfRule>
    <cfRule type="expression" dxfId="52" priority="7">
      <formula>$K7="不通过"</formula>
    </cfRule>
    <cfRule type="expression" dxfId="51" priority="8">
      <formula>$K7="阻塞"</formula>
    </cfRule>
    <cfRule type="expression" dxfId="50" priority="9">
      <formula>$K7="待确认"</formula>
    </cfRule>
    <cfRule type="expression" dxfId="49" priority="10">
      <formula>$K7="不适用"</formula>
    </cfRule>
  </conditionalFormatting>
  <conditionalFormatting sqref="L7:L65">
    <cfRule type="expression" dxfId="48" priority="12">
      <formula>AND(OR($K7="不通过",$K7="阻塞",$K7="待确认"),$L7="")</formula>
    </cfRule>
  </conditionalFormatting>
  <conditionalFormatting sqref="N2">
    <cfRule type="expression" dxfId="47" priority="1">
      <formula>$N$2="本部分核验完成"</formula>
    </cfRule>
    <cfRule type="expression" dxfId="46" priority="2">
      <formula>LEFT($N$2,4)="存在异常"</formula>
    </cfRule>
  </conditionalFormatting>
  <dataValidations count="1">
    <dataValidation type="list" sqref="K7:K65" xr:uid="{00000000-0002-0000-0100-000000000000}">
      <formula1>"未核验,通过,不通过,阻塞,待确认,不适用"</formula1>
    </dataValidation>
  </dataValidations>
  <printOptions horizontalCentered="1"/>
  <pageMargins left="0.27559055118110232" right="0.27559055118110232" top="0.43307086614173229" bottom="0.43307086614173229" header="0.17716535433070868" footer="0.17716535433070868"/>
  <pageSetup paperSize="8" scale="36" fitToHeight="0" orientation="landscape" r:id="rId1"/>
  <headerFooter>
    <oddHeader>&amp;L&amp;B PIS 项目实施标准模板&amp;R版本 V1.0</oddHeader>
    <oddFooter>&amp;L湖北数智病理医学检验有限公司&amp;C上线准备检查&amp;R第 &amp;P 页 / 共 &amp;N 页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9"/>
  <sheetViews>
    <sheetView showGridLines="0" zoomScale="85" zoomScaleNormal="85" workbookViewId="0">
      <selection sqref="A1:N1"/>
    </sheetView>
  </sheetViews>
  <sheetFormatPr defaultRowHeight="14"/>
  <cols>
    <col min="1" max="1" width="13" customWidth="1"/>
    <col min="2" max="3" width="15" customWidth="1"/>
    <col min="4" max="4" width="17" customWidth="1"/>
    <col min="5" max="5" width="26" customWidth="1"/>
    <col min="6" max="6" width="24" customWidth="1"/>
    <col min="7" max="7" width="50" customWidth="1"/>
    <col min="8" max="8" width="36" customWidth="1"/>
    <col min="9" max="9" width="24" customWidth="1"/>
    <col min="10" max="10" width="32" customWidth="1"/>
    <col min="11" max="11" width="13" customWidth="1"/>
    <col min="12" max="12" width="32" customWidth="1"/>
    <col min="13" max="13" width="20" customWidth="1"/>
    <col min="14" max="14" width="38" customWidth="1"/>
  </cols>
  <sheetData>
    <row r="1" spans="1:14" ht="34" customHeight="1">
      <c r="A1" s="2" t="s">
        <v>454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26" customHeight="1">
      <c r="A2" s="4" t="s">
        <v>15</v>
      </c>
      <c r="B2" s="47">
        <f>COUNTA($A$7:$A$69)</f>
        <v>63</v>
      </c>
      <c r="C2" s="4" t="s">
        <v>62</v>
      </c>
      <c r="D2" s="47">
        <f>COUNTIF($C$7:$C$69,"A-上线阻断")</f>
        <v>15</v>
      </c>
      <c r="E2" s="4" t="s">
        <v>63</v>
      </c>
      <c r="F2" s="47">
        <f>COUNTIF($C$7:$C$69,"B-上线必做")</f>
        <v>35</v>
      </c>
      <c r="G2" s="4" t="s">
        <v>64</v>
      </c>
      <c r="H2" s="47">
        <f>COUNTIF($C$7:$C$69,"C-抽查优化")</f>
        <v>13</v>
      </c>
      <c r="I2" s="4" t="s">
        <v>16</v>
      </c>
      <c r="J2" s="47">
        <f>COUNTIF($K$7:$K$69,"&lt;&gt;未核验")</f>
        <v>0</v>
      </c>
      <c r="K2" s="4" t="s">
        <v>17</v>
      </c>
      <c r="L2" s="47">
        <f>COUNTIF($K$7:$K$69,"不通过")+COUNTIF($K$7:$K$69,"阻塞")+COUNTIF($K$7:$K$69,"待确认")</f>
        <v>0</v>
      </c>
      <c r="M2" s="4" t="s">
        <v>65</v>
      </c>
      <c r="N2" s="47" t="str">
        <f>IF(COUNTIF($K$7:$K$69,"未核验")&gt;0,"核验未完成",IF(L2&gt;0,"存在异常，交项目经理处理",IF(COUNTIFS($K$7:$K$69,"通过",$J$7:$J$69,"")+COUNTIFS($K$7:$K$69,"通过",$M$7:$M$69,"")+COUNTIFS($K$7:$K$69,"通过",$N$7:$N$69,"")&gt;0,"填写不完整","本部分核验完成")))</f>
        <v>核验未完成</v>
      </c>
    </row>
    <row r="3" spans="1:14" ht="28" customHeight="1">
      <c r="A3" s="40" t="s">
        <v>66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</row>
    <row r="4" spans="1:14" ht="36" customHeight="1">
      <c r="A4" s="49" t="s">
        <v>67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</row>
    <row r="5" spans="1:14" ht="36" customHeight="1">
      <c r="A5" s="51" t="s">
        <v>68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</row>
    <row r="6" spans="1:14" ht="34" customHeight="1">
      <c r="A6" s="12" t="s">
        <v>69</v>
      </c>
      <c r="B6" s="53" t="s">
        <v>70</v>
      </c>
      <c r="C6" s="53" t="s">
        <v>71</v>
      </c>
      <c r="D6" s="53" t="s">
        <v>72</v>
      </c>
      <c r="E6" s="53" t="s">
        <v>73</v>
      </c>
      <c r="F6" s="53" t="s">
        <v>74</v>
      </c>
      <c r="G6" s="53" t="s">
        <v>75</v>
      </c>
      <c r="H6" s="53" t="s">
        <v>76</v>
      </c>
      <c r="I6" s="53" t="s">
        <v>77</v>
      </c>
      <c r="J6" s="53" t="s">
        <v>78</v>
      </c>
      <c r="K6" s="53" t="s">
        <v>79</v>
      </c>
      <c r="L6" s="53" t="s">
        <v>80</v>
      </c>
      <c r="M6" s="53" t="s">
        <v>81</v>
      </c>
      <c r="N6" s="53" t="s">
        <v>82</v>
      </c>
    </row>
    <row r="7" spans="1:14" ht="45" customHeight="1">
      <c r="A7" s="58" t="s">
        <v>455</v>
      </c>
      <c r="B7" s="56" t="s">
        <v>456</v>
      </c>
      <c r="C7" s="61" t="s">
        <v>114</v>
      </c>
      <c r="D7" s="56" t="s">
        <v>457</v>
      </c>
      <c r="E7" s="57" t="s">
        <v>458</v>
      </c>
      <c r="F7" s="57" t="s">
        <v>459</v>
      </c>
      <c r="G7" s="57" t="s">
        <v>460</v>
      </c>
      <c r="H7" s="57" t="s">
        <v>461</v>
      </c>
      <c r="I7" s="57" t="s">
        <v>462</v>
      </c>
      <c r="J7" s="54"/>
      <c r="K7" s="55" t="s">
        <v>92</v>
      </c>
      <c r="L7" s="54"/>
      <c r="M7" s="55"/>
      <c r="N7" s="54"/>
    </row>
    <row r="8" spans="1:14" ht="45" customHeight="1">
      <c r="A8" s="58" t="s">
        <v>463</v>
      </c>
      <c r="B8" s="56" t="s">
        <v>456</v>
      </c>
      <c r="C8" s="59" t="s">
        <v>85</v>
      </c>
      <c r="D8" s="56" t="s">
        <v>464</v>
      </c>
      <c r="E8" s="57" t="s">
        <v>465</v>
      </c>
      <c r="F8" s="57" t="s">
        <v>466</v>
      </c>
      <c r="G8" s="57" t="s">
        <v>467</v>
      </c>
      <c r="H8" s="57" t="s">
        <v>468</v>
      </c>
      <c r="I8" s="57" t="s">
        <v>469</v>
      </c>
      <c r="J8" s="54"/>
      <c r="K8" s="55" t="s">
        <v>92</v>
      </c>
      <c r="L8" s="54"/>
      <c r="M8" s="55"/>
      <c r="N8" s="54"/>
    </row>
    <row r="9" spans="1:14" ht="45" customHeight="1">
      <c r="A9" s="58" t="s">
        <v>470</v>
      </c>
      <c r="B9" s="56" t="s">
        <v>456</v>
      </c>
      <c r="C9" s="59" t="s">
        <v>85</v>
      </c>
      <c r="D9" s="56" t="s">
        <v>464</v>
      </c>
      <c r="E9" s="57" t="s">
        <v>471</v>
      </c>
      <c r="F9" s="57" t="s">
        <v>472</v>
      </c>
      <c r="G9" s="57" t="s">
        <v>473</v>
      </c>
      <c r="H9" s="57" t="s">
        <v>474</v>
      </c>
      <c r="I9" s="57" t="s">
        <v>475</v>
      </c>
      <c r="J9" s="54"/>
      <c r="K9" s="55" t="s">
        <v>92</v>
      </c>
      <c r="L9" s="54"/>
      <c r="M9" s="55"/>
      <c r="N9" s="54"/>
    </row>
    <row r="10" spans="1:14" ht="45" customHeight="1">
      <c r="A10" s="58" t="s">
        <v>476</v>
      </c>
      <c r="B10" s="56" t="s">
        <v>456</v>
      </c>
      <c r="C10" s="61" t="s">
        <v>114</v>
      </c>
      <c r="D10" s="56" t="s">
        <v>464</v>
      </c>
      <c r="E10" s="57" t="s">
        <v>477</v>
      </c>
      <c r="F10" s="57" t="s">
        <v>478</v>
      </c>
      <c r="G10" s="57" t="s">
        <v>479</v>
      </c>
      <c r="H10" s="57" t="s">
        <v>480</v>
      </c>
      <c r="I10" s="57" t="s">
        <v>481</v>
      </c>
      <c r="J10" s="54"/>
      <c r="K10" s="55" t="s">
        <v>92</v>
      </c>
      <c r="L10" s="54"/>
      <c r="M10" s="55"/>
      <c r="N10" s="54"/>
    </row>
    <row r="11" spans="1:14" ht="45" customHeight="1">
      <c r="A11" s="58" t="s">
        <v>482</v>
      </c>
      <c r="B11" s="56" t="s">
        <v>456</v>
      </c>
      <c r="C11" s="60" t="s">
        <v>100</v>
      </c>
      <c r="D11" s="56" t="s">
        <v>464</v>
      </c>
      <c r="E11" s="57" t="s">
        <v>483</v>
      </c>
      <c r="F11" s="57" t="s">
        <v>484</v>
      </c>
      <c r="G11" s="57" t="s">
        <v>485</v>
      </c>
      <c r="H11" s="57" t="s">
        <v>486</v>
      </c>
      <c r="I11" s="57" t="s">
        <v>487</v>
      </c>
      <c r="J11" s="54"/>
      <c r="K11" s="55" t="s">
        <v>92</v>
      </c>
      <c r="L11" s="54"/>
      <c r="M11" s="55"/>
      <c r="N11" s="54"/>
    </row>
    <row r="12" spans="1:14" ht="45" customHeight="1">
      <c r="A12" s="58" t="s">
        <v>488</v>
      </c>
      <c r="B12" s="56" t="s">
        <v>456</v>
      </c>
      <c r="C12" s="59" t="s">
        <v>85</v>
      </c>
      <c r="D12" s="56" t="s">
        <v>464</v>
      </c>
      <c r="E12" s="57" t="s">
        <v>489</v>
      </c>
      <c r="F12" s="57" t="s">
        <v>299</v>
      </c>
      <c r="G12" s="57" t="s">
        <v>490</v>
      </c>
      <c r="H12" s="57" t="s">
        <v>491</v>
      </c>
      <c r="I12" s="57" t="s">
        <v>302</v>
      </c>
      <c r="J12" s="54"/>
      <c r="K12" s="55" t="s">
        <v>92</v>
      </c>
      <c r="L12" s="54"/>
      <c r="M12" s="55"/>
      <c r="N12" s="54"/>
    </row>
    <row r="13" spans="1:14" ht="45" customHeight="1">
      <c r="A13" s="58" t="s">
        <v>492</v>
      </c>
      <c r="B13" s="56" t="s">
        <v>456</v>
      </c>
      <c r="C13" s="61" t="s">
        <v>114</v>
      </c>
      <c r="D13" s="56" t="s">
        <v>464</v>
      </c>
      <c r="E13" s="57" t="s">
        <v>493</v>
      </c>
      <c r="F13" s="57" t="s">
        <v>494</v>
      </c>
      <c r="G13" s="57" t="s">
        <v>495</v>
      </c>
      <c r="H13" s="57" t="s">
        <v>496</v>
      </c>
      <c r="I13" s="57" t="s">
        <v>497</v>
      </c>
      <c r="J13" s="54"/>
      <c r="K13" s="55" t="s">
        <v>92</v>
      </c>
      <c r="L13" s="54"/>
      <c r="M13" s="55"/>
      <c r="N13" s="54"/>
    </row>
    <row r="14" spans="1:14" ht="45" customHeight="1">
      <c r="A14" s="58" t="s">
        <v>498</v>
      </c>
      <c r="B14" s="56" t="s">
        <v>456</v>
      </c>
      <c r="C14" s="61" t="s">
        <v>114</v>
      </c>
      <c r="D14" s="56" t="s">
        <v>499</v>
      </c>
      <c r="E14" s="57" t="s">
        <v>500</v>
      </c>
      <c r="F14" s="57" t="s">
        <v>501</v>
      </c>
      <c r="G14" s="57" t="s">
        <v>502</v>
      </c>
      <c r="H14" s="57" t="s">
        <v>503</v>
      </c>
      <c r="I14" s="57" t="s">
        <v>504</v>
      </c>
      <c r="J14" s="54"/>
      <c r="K14" s="55" t="s">
        <v>92</v>
      </c>
      <c r="L14" s="54"/>
      <c r="M14" s="55"/>
      <c r="N14" s="54"/>
    </row>
    <row r="15" spans="1:14" ht="45" customHeight="1">
      <c r="A15" s="58" t="s">
        <v>505</v>
      </c>
      <c r="B15" s="56" t="s">
        <v>456</v>
      </c>
      <c r="C15" s="61" t="s">
        <v>114</v>
      </c>
      <c r="D15" s="56" t="s">
        <v>506</v>
      </c>
      <c r="E15" s="57" t="s">
        <v>507</v>
      </c>
      <c r="F15" s="57" t="s">
        <v>323</v>
      </c>
      <c r="G15" s="57" t="s">
        <v>508</v>
      </c>
      <c r="H15" s="57" t="s">
        <v>509</v>
      </c>
      <c r="I15" s="57" t="s">
        <v>510</v>
      </c>
      <c r="J15" s="54"/>
      <c r="K15" s="55" t="s">
        <v>92</v>
      </c>
      <c r="L15" s="54"/>
      <c r="M15" s="55"/>
      <c r="N15" s="54"/>
    </row>
    <row r="16" spans="1:14" ht="45" customHeight="1">
      <c r="A16" s="58" t="s">
        <v>511</v>
      </c>
      <c r="B16" s="56" t="s">
        <v>456</v>
      </c>
      <c r="C16" s="59" t="s">
        <v>85</v>
      </c>
      <c r="D16" s="56" t="s">
        <v>506</v>
      </c>
      <c r="E16" s="57" t="s">
        <v>512</v>
      </c>
      <c r="F16" s="57" t="s">
        <v>513</v>
      </c>
      <c r="G16" s="57" t="s">
        <v>514</v>
      </c>
      <c r="H16" s="57" t="s">
        <v>515</v>
      </c>
      <c r="I16" s="57" t="s">
        <v>516</v>
      </c>
      <c r="J16" s="54"/>
      <c r="K16" s="55" t="s">
        <v>92</v>
      </c>
      <c r="L16" s="54"/>
      <c r="M16" s="55"/>
      <c r="N16" s="54"/>
    </row>
    <row r="17" spans="1:14" ht="45" customHeight="1">
      <c r="A17" s="58" t="s">
        <v>517</v>
      </c>
      <c r="B17" s="56" t="s">
        <v>456</v>
      </c>
      <c r="C17" s="59" t="s">
        <v>85</v>
      </c>
      <c r="D17" s="56" t="s">
        <v>506</v>
      </c>
      <c r="E17" s="57" t="s">
        <v>518</v>
      </c>
      <c r="F17" s="57" t="s">
        <v>519</v>
      </c>
      <c r="G17" s="57" t="s">
        <v>520</v>
      </c>
      <c r="H17" s="57" t="s">
        <v>521</v>
      </c>
      <c r="I17" s="57" t="s">
        <v>522</v>
      </c>
      <c r="J17" s="54"/>
      <c r="K17" s="55" t="s">
        <v>92</v>
      </c>
      <c r="L17" s="54"/>
      <c r="M17" s="55"/>
      <c r="N17" s="54"/>
    </row>
    <row r="18" spans="1:14" ht="45" customHeight="1">
      <c r="A18" s="58" t="s">
        <v>523</v>
      </c>
      <c r="B18" s="56" t="s">
        <v>456</v>
      </c>
      <c r="C18" s="61" t="s">
        <v>114</v>
      </c>
      <c r="D18" s="56" t="s">
        <v>499</v>
      </c>
      <c r="E18" s="57" t="s">
        <v>524</v>
      </c>
      <c r="F18" s="57" t="s">
        <v>525</v>
      </c>
      <c r="G18" s="57" t="s">
        <v>526</v>
      </c>
      <c r="H18" s="57" t="s">
        <v>527</v>
      </c>
      <c r="I18" s="57" t="s">
        <v>528</v>
      </c>
      <c r="J18" s="54"/>
      <c r="K18" s="55" t="s">
        <v>92</v>
      </c>
      <c r="L18" s="54"/>
      <c r="M18" s="55"/>
      <c r="N18" s="54"/>
    </row>
    <row r="19" spans="1:14" ht="45" customHeight="1">
      <c r="A19" s="58" t="s">
        <v>529</v>
      </c>
      <c r="B19" s="56" t="s">
        <v>456</v>
      </c>
      <c r="C19" s="61" t="s">
        <v>114</v>
      </c>
      <c r="D19" s="56" t="s">
        <v>530</v>
      </c>
      <c r="E19" s="57" t="s">
        <v>531</v>
      </c>
      <c r="F19" s="57" t="s">
        <v>532</v>
      </c>
      <c r="G19" s="57" t="s">
        <v>533</v>
      </c>
      <c r="H19" s="57" t="s">
        <v>534</v>
      </c>
      <c r="I19" s="57" t="s">
        <v>535</v>
      </c>
      <c r="J19" s="54"/>
      <c r="K19" s="55" t="s">
        <v>92</v>
      </c>
      <c r="L19" s="54"/>
      <c r="M19" s="55"/>
      <c r="N19" s="54"/>
    </row>
    <row r="20" spans="1:14" ht="45" customHeight="1">
      <c r="A20" s="58" t="s">
        <v>536</v>
      </c>
      <c r="B20" s="56" t="s">
        <v>456</v>
      </c>
      <c r="C20" s="61" t="s">
        <v>114</v>
      </c>
      <c r="D20" s="56" t="s">
        <v>530</v>
      </c>
      <c r="E20" s="57" t="s">
        <v>537</v>
      </c>
      <c r="F20" s="57" t="s">
        <v>538</v>
      </c>
      <c r="G20" s="57" t="s">
        <v>539</v>
      </c>
      <c r="H20" s="57" t="s">
        <v>540</v>
      </c>
      <c r="I20" s="57" t="s">
        <v>541</v>
      </c>
      <c r="J20" s="54"/>
      <c r="K20" s="55" t="s">
        <v>92</v>
      </c>
      <c r="L20" s="54"/>
      <c r="M20" s="55"/>
      <c r="N20" s="54"/>
    </row>
    <row r="21" spans="1:14" ht="45" customHeight="1">
      <c r="A21" s="58" t="s">
        <v>542</v>
      </c>
      <c r="B21" s="56" t="s">
        <v>456</v>
      </c>
      <c r="C21" s="60" t="s">
        <v>100</v>
      </c>
      <c r="D21" s="56" t="s">
        <v>530</v>
      </c>
      <c r="E21" s="57" t="s">
        <v>543</v>
      </c>
      <c r="F21" s="57" t="s">
        <v>544</v>
      </c>
      <c r="G21" s="57" t="s">
        <v>545</v>
      </c>
      <c r="H21" s="57" t="s">
        <v>546</v>
      </c>
      <c r="I21" s="57" t="s">
        <v>547</v>
      </c>
      <c r="J21" s="54"/>
      <c r="K21" s="55" t="s">
        <v>92</v>
      </c>
      <c r="L21" s="54"/>
      <c r="M21" s="55"/>
      <c r="N21" s="54"/>
    </row>
    <row r="22" spans="1:14" ht="45" customHeight="1">
      <c r="A22" s="58" t="s">
        <v>548</v>
      </c>
      <c r="B22" s="56" t="s">
        <v>456</v>
      </c>
      <c r="C22" s="59" t="s">
        <v>85</v>
      </c>
      <c r="D22" s="56" t="s">
        <v>530</v>
      </c>
      <c r="E22" s="57" t="s">
        <v>549</v>
      </c>
      <c r="F22" s="57" t="s">
        <v>550</v>
      </c>
      <c r="G22" s="57" t="s">
        <v>551</v>
      </c>
      <c r="H22" s="57" t="s">
        <v>552</v>
      </c>
      <c r="I22" s="57" t="s">
        <v>553</v>
      </c>
      <c r="J22" s="54"/>
      <c r="K22" s="55" t="s">
        <v>92</v>
      </c>
      <c r="L22" s="54"/>
      <c r="M22" s="55"/>
      <c r="N22" s="54"/>
    </row>
    <row r="23" spans="1:14" ht="45" customHeight="1">
      <c r="A23" s="58" t="s">
        <v>554</v>
      </c>
      <c r="B23" s="56" t="s">
        <v>456</v>
      </c>
      <c r="C23" s="61" t="s">
        <v>114</v>
      </c>
      <c r="D23" s="56" t="s">
        <v>555</v>
      </c>
      <c r="E23" s="57" t="s">
        <v>556</v>
      </c>
      <c r="F23" s="57" t="s">
        <v>557</v>
      </c>
      <c r="G23" s="57" t="s">
        <v>558</v>
      </c>
      <c r="H23" s="57" t="s">
        <v>559</v>
      </c>
      <c r="I23" s="57" t="s">
        <v>560</v>
      </c>
      <c r="J23" s="54"/>
      <c r="K23" s="55" t="s">
        <v>92</v>
      </c>
      <c r="L23" s="54"/>
      <c r="M23" s="55"/>
      <c r="N23" s="54"/>
    </row>
    <row r="24" spans="1:14" ht="45" customHeight="1">
      <c r="A24" s="58" t="s">
        <v>561</v>
      </c>
      <c r="B24" s="56" t="s">
        <v>456</v>
      </c>
      <c r="C24" s="60" t="s">
        <v>100</v>
      </c>
      <c r="D24" s="56" t="s">
        <v>555</v>
      </c>
      <c r="E24" s="57" t="s">
        <v>562</v>
      </c>
      <c r="F24" s="57" t="s">
        <v>563</v>
      </c>
      <c r="G24" s="57" t="s">
        <v>564</v>
      </c>
      <c r="H24" s="57" t="s">
        <v>565</v>
      </c>
      <c r="I24" s="57" t="s">
        <v>547</v>
      </c>
      <c r="J24" s="54"/>
      <c r="K24" s="55" t="s">
        <v>92</v>
      </c>
      <c r="L24" s="54"/>
      <c r="M24" s="55"/>
      <c r="N24" s="54"/>
    </row>
    <row r="25" spans="1:14" ht="45" customHeight="1">
      <c r="A25" s="58" t="s">
        <v>566</v>
      </c>
      <c r="B25" s="56" t="s">
        <v>456</v>
      </c>
      <c r="C25" s="59" t="s">
        <v>85</v>
      </c>
      <c r="D25" s="56" t="s">
        <v>555</v>
      </c>
      <c r="E25" s="57" t="s">
        <v>567</v>
      </c>
      <c r="F25" s="57" t="s">
        <v>568</v>
      </c>
      <c r="G25" s="57" t="s">
        <v>569</v>
      </c>
      <c r="H25" s="57" t="s">
        <v>570</v>
      </c>
      <c r="I25" s="57" t="s">
        <v>553</v>
      </c>
      <c r="J25" s="54"/>
      <c r="K25" s="55" t="s">
        <v>92</v>
      </c>
      <c r="L25" s="54"/>
      <c r="M25" s="55"/>
      <c r="N25" s="54"/>
    </row>
    <row r="26" spans="1:14" ht="45" customHeight="1">
      <c r="A26" s="58" t="s">
        <v>571</v>
      </c>
      <c r="B26" s="56" t="s">
        <v>456</v>
      </c>
      <c r="C26" s="61" t="s">
        <v>114</v>
      </c>
      <c r="D26" s="56" t="s">
        <v>572</v>
      </c>
      <c r="E26" s="57" t="s">
        <v>573</v>
      </c>
      <c r="F26" s="57" t="s">
        <v>574</v>
      </c>
      <c r="G26" s="57" t="s">
        <v>575</v>
      </c>
      <c r="H26" s="57" t="s">
        <v>576</v>
      </c>
      <c r="I26" s="57" t="s">
        <v>504</v>
      </c>
      <c r="J26" s="54"/>
      <c r="K26" s="55" t="s">
        <v>92</v>
      </c>
      <c r="L26" s="54"/>
      <c r="M26" s="55"/>
      <c r="N26" s="54"/>
    </row>
    <row r="27" spans="1:14" ht="45" customHeight="1">
      <c r="A27" s="58" t="s">
        <v>577</v>
      </c>
      <c r="B27" s="56" t="s">
        <v>456</v>
      </c>
      <c r="C27" s="59" t="s">
        <v>85</v>
      </c>
      <c r="D27" s="56" t="s">
        <v>572</v>
      </c>
      <c r="E27" s="57" t="s">
        <v>578</v>
      </c>
      <c r="F27" s="57" t="s">
        <v>579</v>
      </c>
      <c r="G27" s="57" t="s">
        <v>580</v>
      </c>
      <c r="H27" s="57" t="s">
        <v>581</v>
      </c>
      <c r="I27" s="57" t="s">
        <v>582</v>
      </c>
      <c r="J27" s="54"/>
      <c r="K27" s="55" t="s">
        <v>92</v>
      </c>
      <c r="L27" s="54"/>
      <c r="M27" s="55"/>
      <c r="N27" s="54"/>
    </row>
    <row r="28" spans="1:14" ht="45" customHeight="1">
      <c r="A28" s="58" t="s">
        <v>583</v>
      </c>
      <c r="B28" s="56" t="s">
        <v>456</v>
      </c>
      <c r="C28" s="60" t="s">
        <v>100</v>
      </c>
      <c r="D28" s="56" t="s">
        <v>572</v>
      </c>
      <c r="E28" s="57" t="s">
        <v>584</v>
      </c>
      <c r="F28" s="57" t="s">
        <v>585</v>
      </c>
      <c r="G28" s="57" t="s">
        <v>586</v>
      </c>
      <c r="H28" s="57" t="s">
        <v>587</v>
      </c>
      <c r="I28" s="57" t="s">
        <v>588</v>
      </c>
      <c r="J28" s="54"/>
      <c r="K28" s="55" t="s">
        <v>92</v>
      </c>
      <c r="L28" s="54"/>
      <c r="M28" s="55"/>
      <c r="N28" s="54"/>
    </row>
    <row r="29" spans="1:14" ht="45" customHeight="1">
      <c r="A29" s="58" t="s">
        <v>589</v>
      </c>
      <c r="B29" s="56" t="s">
        <v>456</v>
      </c>
      <c r="C29" s="59" t="s">
        <v>85</v>
      </c>
      <c r="D29" s="56" t="s">
        <v>590</v>
      </c>
      <c r="E29" s="57" t="s">
        <v>591</v>
      </c>
      <c r="F29" s="57" t="s">
        <v>592</v>
      </c>
      <c r="G29" s="57" t="s">
        <v>593</v>
      </c>
      <c r="H29" s="57" t="s">
        <v>594</v>
      </c>
      <c r="I29" s="57" t="s">
        <v>595</v>
      </c>
      <c r="J29" s="54"/>
      <c r="K29" s="55" t="s">
        <v>92</v>
      </c>
      <c r="L29" s="54"/>
      <c r="M29" s="55"/>
      <c r="N29" s="54"/>
    </row>
    <row r="30" spans="1:14" ht="45" customHeight="1">
      <c r="A30" s="58" t="s">
        <v>596</v>
      </c>
      <c r="B30" s="56" t="s">
        <v>456</v>
      </c>
      <c r="C30" s="61" t="s">
        <v>114</v>
      </c>
      <c r="D30" s="56" t="s">
        <v>597</v>
      </c>
      <c r="E30" s="57" t="s">
        <v>598</v>
      </c>
      <c r="F30" s="57" t="s">
        <v>599</v>
      </c>
      <c r="G30" s="57" t="s">
        <v>600</v>
      </c>
      <c r="H30" s="57" t="s">
        <v>601</v>
      </c>
      <c r="I30" s="57" t="s">
        <v>602</v>
      </c>
      <c r="J30" s="54"/>
      <c r="K30" s="55" t="s">
        <v>92</v>
      </c>
      <c r="L30" s="54"/>
      <c r="M30" s="55"/>
      <c r="N30" s="54"/>
    </row>
    <row r="31" spans="1:14" ht="45" customHeight="1">
      <c r="A31" s="58" t="s">
        <v>603</v>
      </c>
      <c r="B31" s="56" t="s">
        <v>456</v>
      </c>
      <c r="C31" s="61" t="s">
        <v>114</v>
      </c>
      <c r="D31" s="56" t="s">
        <v>597</v>
      </c>
      <c r="E31" s="57" t="s">
        <v>604</v>
      </c>
      <c r="F31" s="57" t="s">
        <v>605</v>
      </c>
      <c r="G31" s="57" t="s">
        <v>606</v>
      </c>
      <c r="H31" s="57" t="s">
        <v>607</v>
      </c>
      <c r="I31" s="57" t="s">
        <v>608</v>
      </c>
      <c r="J31" s="54"/>
      <c r="K31" s="55" t="s">
        <v>92</v>
      </c>
      <c r="L31" s="54"/>
      <c r="M31" s="55"/>
      <c r="N31" s="54"/>
    </row>
    <row r="32" spans="1:14" ht="45" customHeight="1">
      <c r="A32" s="58" t="s">
        <v>609</v>
      </c>
      <c r="B32" s="56" t="s">
        <v>456</v>
      </c>
      <c r="C32" s="61" t="s">
        <v>114</v>
      </c>
      <c r="D32" s="56" t="s">
        <v>597</v>
      </c>
      <c r="E32" s="57" t="s">
        <v>610</v>
      </c>
      <c r="F32" s="57" t="s">
        <v>611</v>
      </c>
      <c r="G32" s="57" t="s">
        <v>612</v>
      </c>
      <c r="H32" s="57" t="s">
        <v>613</v>
      </c>
      <c r="I32" s="57" t="s">
        <v>614</v>
      </c>
      <c r="J32" s="54"/>
      <c r="K32" s="55" t="s">
        <v>92</v>
      </c>
      <c r="L32" s="54"/>
      <c r="M32" s="55"/>
      <c r="N32" s="54"/>
    </row>
    <row r="33" spans="1:14" ht="45" customHeight="1">
      <c r="A33" s="58" t="s">
        <v>615</v>
      </c>
      <c r="B33" s="56" t="s">
        <v>456</v>
      </c>
      <c r="C33" s="60" t="s">
        <v>100</v>
      </c>
      <c r="D33" s="56" t="s">
        <v>597</v>
      </c>
      <c r="E33" s="57" t="s">
        <v>616</v>
      </c>
      <c r="F33" s="57" t="s">
        <v>617</v>
      </c>
      <c r="G33" s="57" t="s">
        <v>618</v>
      </c>
      <c r="H33" s="57" t="s">
        <v>619</v>
      </c>
      <c r="I33" s="57" t="s">
        <v>620</v>
      </c>
      <c r="J33" s="54"/>
      <c r="K33" s="55" t="s">
        <v>92</v>
      </c>
      <c r="L33" s="54"/>
      <c r="M33" s="55"/>
      <c r="N33" s="54"/>
    </row>
    <row r="34" spans="1:14" ht="45" customHeight="1">
      <c r="A34" s="58" t="s">
        <v>621</v>
      </c>
      <c r="B34" s="56" t="s">
        <v>456</v>
      </c>
      <c r="C34" s="59" t="s">
        <v>85</v>
      </c>
      <c r="D34" s="56" t="s">
        <v>597</v>
      </c>
      <c r="E34" s="57" t="s">
        <v>622</v>
      </c>
      <c r="F34" s="57" t="s">
        <v>623</v>
      </c>
      <c r="G34" s="57" t="s">
        <v>624</v>
      </c>
      <c r="H34" s="57" t="s">
        <v>625</v>
      </c>
      <c r="I34" s="57" t="s">
        <v>497</v>
      </c>
      <c r="J34" s="54"/>
      <c r="K34" s="55" t="s">
        <v>92</v>
      </c>
      <c r="L34" s="54"/>
      <c r="M34" s="55"/>
      <c r="N34" s="54"/>
    </row>
    <row r="35" spans="1:14" ht="45" customHeight="1">
      <c r="A35" s="58" t="s">
        <v>626</v>
      </c>
      <c r="B35" s="56" t="s">
        <v>456</v>
      </c>
      <c r="C35" s="59" t="s">
        <v>85</v>
      </c>
      <c r="D35" s="56" t="s">
        <v>627</v>
      </c>
      <c r="E35" s="57" t="s">
        <v>628</v>
      </c>
      <c r="F35" s="57" t="s">
        <v>629</v>
      </c>
      <c r="G35" s="57" t="s">
        <v>630</v>
      </c>
      <c r="H35" s="57" t="s">
        <v>631</v>
      </c>
      <c r="I35" s="57" t="s">
        <v>632</v>
      </c>
      <c r="J35" s="54"/>
      <c r="K35" s="55" t="s">
        <v>92</v>
      </c>
      <c r="L35" s="54"/>
      <c r="M35" s="55"/>
      <c r="N35" s="54"/>
    </row>
    <row r="36" spans="1:14" ht="45" customHeight="1">
      <c r="A36" s="58" t="s">
        <v>633</v>
      </c>
      <c r="B36" s="56" t="s">
        <v>456</v>
      </c>
      <c r="C36" s="59" t="s">
        <v>85</v>
      </c>
      <c r="D36" s="56" t="s">
        <v>634</v>
      </c>
      <c r="E36" s="57" t="s">
        <v>635</v>
      </c>
      <c r="F36" s="57" t="s">
        <v>636</v>
      </c>
      <c r="G36" s="57" t="s">
        <v>637</v>
      </c>
      <c r="H36" s="57" t="s">
        <v>638</v>
      </c>
      <c r="I36" s="57" t="s">
        <v>639</v>
      </c>
      <c r="J36" s="54"/>
      <c r="K36" s="55" t="s">
        <v>92</v>
      </c>
      <c r="L36" s="54"/>
      <c r="M36" s="55"/>
      <c r="N36" s="54"/>
    </row>
    <row r="37" spans="1:14" ht="45" customHeight="1">
      <c r="A37" s="58" t="s">
        <v>640</v>
      </c>
      <c r="B37" s="56" t="s">
        <v>456</v>
      </c>
      <c r="C37" s="59" t="s">
        <v>85</v>
      </c>
      <c r="D37" s="56" t="s">
        <v>641</v>
      </c>
      <c r="E37" s="57" t="s">
        <v>642</v>
      </c>
      <c r="F37" s="57" t="s">
        <v>643</v>
      </c>
      <c r="G37" s="57" t="s">
        <v>644</v>
      </c>
      <c r="H37" s="57" t="s">
        <v>645</v>
      </c>
      <c r="I37" s="57" t="s">
        <v>646</v>
      </c>
      <c r="J37" s="54"/>
      <c r="K37" s="55" t="s">
        <v>92</v>
      </c>
      <c r="L37" s="54"/>
      <c r="M37" s="55"/>
      <c r="N37" s="54"/>
    </row>
    <row r="38" spans="1:14" ht="45" customHeight="1">
      <c r="A38" s="58" t="s">
        <v>647</v>
      </c>
      <c r="B38" s="56" t="s">
        <v>456</v>
      </c>
      <c r="C38" s="61" t="s">
        <v>114</v>
      </c>
      <c r="D38" s="56" t="s">
        <v>634</v>
      </c>
      <c r="E38" s="57" t="s">
        <v>648</v>
      </c>
      <c r="F38" s="57" t="s">
        <v>649</v>
      </c>
      <c r="G38" s="57" t="s">
        <v>650</v>
      </c>
      <c r="H38" s="57" t="s">
        <v>651</v>
      </c>
      <c r="I38" s="57" t="s">
        <v>652</v>
      </c>
      <c r="J38" s="54"/>
      <c r="K38" s="55" t="s">
        <v>92</v>
      </c>
      <c r="L38" s="54"/>
      <c r="M38" s="55"/>
      <c r="N38" s="54"/>
    </row>
    <row r="39" spans="1:14" ht="45" customHeight="1">
      <c r="A39" s="58" t="s">
        <v>653</v>
      </c>
      <c r="B39" s="56" t="s">
        <v>654</v>
      </c>
      <c r="C39" s="60" t="s">
        <v>100</v>
      </c>
      <c r="D39" s="56" t="s">
        <v>464</v>
      </c>
      <c r="E39" s="57" t="s">
        <v>655</v>
      </c>
      <c r="F39" s="57" t="s">
        <v>656</v>
      </c>
      <c r="G39" s="57" t="s">
        <v>657</v>
      </c>
      <c r="H39" s="57" t="s">
        <v>658</v>
      </c>
      <c r="I39" s="57" t="s">
        <v>659</v>
      </c>
      <c r="J39" s="54"/>
      <c r="K39" s="55" t="s">
        <v>92</v>
      </c>
      <c r="L39" s="54"/>
      <c r="M39" s="55"/>
      <c r="N39" s="54"/>
    </row>
    <row r="40" spans="1:14" ht="45" customHeight="1">
      <c r="A40" s="58" t="s">
        <v>660</v>
      </c>
      <c r="B40" s="56" t="s">
        <v>654</v>
      </c>
      <c r="C40" s="61" t="s">
        <v>114</v>
      </c>
      <c r="D40" s="56" t="s">
        <v>661</v>
      </c>
      <c r="E40" s="57" t="s">
        <v>662</v>
      </c>
      <c r="F40" s="57" t="s">
        <v>663</v>
      </c>
      <c r="G40" s="57" t="s">
        <v>664</v>
      </c>
      <c r="H40" s="57" t="s">
        <v>665</v>
      </c>
      <c r="I40" s="57" t="s">
        <v>666</v>
      </c>
      <c r="J40" s="54"/>
      <c r="K40" s="55" t="s">
        <v>92</v>
      </c>
      <c r="L40" s="54"/>
      <c r="M40" s="55"/>
      <c r="N40" s="54"/>
    </row>
    <row r="41" spans="1:14" ht="45" customHeight="1">
      <c r="A41" s="58" t="s">
        <v>667</v>
      </c>
      <c r="B41" s="56" t="s">
        <v>654</v>
      </c>
      <c r="C41" s="61" t="s">
        <v>114</v>
      </c>
      <c r="D41" s="56" t="s">
        <v>668</v>
      </c>
      <c r="E41" s="57" t="s">
        <v>669</v>
      </c>
      <c r="F41" s="57" t="s">
        <v>670</v>
      </c>
      <c r="G41" s="57" t="s">
        <v>671</v>
      </c>
      <c r="H41" s="57" t="s">
        <v>672</v>
      </c>
      <c r="I41" s="57" t="s">
        <v>673</v>
      </c>
      <c r="J41" s="54"/>
      <c r="K41" s="55" t="s">
        <v>92</v>
      </c>
      <c r="L41" s="54"/>
      <c r="M41" s="55"/>
      <c r="N41" s="54"/>
    </row>
    <row r="42" spans="1:14" ht="45" customHeight="1">
      <c r="A42" s="58" t="s">
        <v>674</v>
      </c>
      <c r="B42" s="56" t="s">
        <v>654</v>
      </c>
      <c r="C42" s="59" t="s">
        <v>85</v>
      </c>
      <c r="D42" s="56" t="s">
        <v>597</v>
      </c>
      <c r="E42" s="57" t="s">
        <v>675</v>
      </c>
      <c r="F42" s="57" t="s">
        <v>676</v>
      </c>
      <c r="G42" s="57" t="s">
        <v>677</v>
      </c>
      <c r="H42" s="57" t="s">
        <v>678</v>
      </c>
      <c r="I42" s="57" t="s">
        <v>679</v>
      </c>
      <c r="J42" s="54"/>
      <c r="K42" s="55" t="s">
        <v>92</v>
      </c>
      <c r="L42" s="54"/>
      <c r="M42" s="55"/>
      <c r="N42" s="54"/>
    </row>
    <row r="43" spans="1:14" ht="45" customHeight="1">
      <c r="A43" s="58" t="s">
        <v>680</v>
      </c>
      <c r="B43" s="56" t="s">
        <v>654</v>
      </c>
      <c r="C43" s="60" t="s">
        <v>100</v>
      </c>
      <c r="D43" s="56" t="s">
        <v>464</v>
      </c>
      <c r="E43" s="57" t="s">
        <v>681</v>
      </c>
      <c r="F43" s="57" t="s">
        <v>682</v>
      </c>
      <c r="G43" s="57" t="s">
        <v>683</v>
      </c>
      <c r="H43" s="57" t="s">
        <v>684</v>
      </c>
      <c r="I43" s="57" t="s">
        <v>685</v>
      </c>
      <c r="J43" s="54"/>
      <c r="K43" s="55" t="s">
        <v>92</v>
      </c>
      <c r="L43" s="54"/>
      <c r="M43" s="55"/>
      <c r="N43" s="54"/>
    </row>
    <row r="44" spans="1:14" ht="45" customHeight="1">
      <c r="A44" s="58" t="s">
        <v>686</v>
      </c>
      <c r="B44" s="56" t="s">
        <v>654</v>
      </c>
      <c r="C44" s="60" t="s">
        <v>100</v>
      </c>
      <c r="D44" s="56" t="s">
        <v>597</v>
      </c>
      <c r="E44" s="57" t="s">
        <v>687</v>
      </c>
      <c r="F44" s="57" t="s">
        <v>688</v>
      </c>
      <c r="G44" s="57" t="s">
        <v>689</v>
      </c>
      <c r="H44" s="57" t="s">
        <v>690</v>
      </c>
      <c r="I44" s="57" t="s">
        <v>691</v>
      </c>
      <c r="J44" s="54"/>
      <c r="K44" s="55" t="s">
        <v>92</v>
      </c>
      <c r="L44" s="54"/>
      <c r="M44" s="55"/>
      <c r="N44" s="54"/>
    </row>
    <row r="45" spans="1:14" ht="45" customHeight="1">
      <c r="A45" s="58" t="s">
        <v>692</v>
      </c>
      <c r="B45" s="56" t="s">
        <v>654</v>
      </c>
      <c r="C45" s="61" t="s">
        <v>114</v>
      </c>
      <c r="D45" s="56" t="s">
        <v>464</v>
      </c>
      <c r="E45" s="57" t="s">
        <v>693</v>
      </c>
      <c r="F45" s="57" t="s">
        <v>694</v>
      </c>
      <c r="G45" s="57" t="s">
        <v>695</v>
      </c>
      <c r="H45" s="57" t="s">
        <v>696</v>
      </c>
      <c r="I45" s="57" t="s">
        <v>697</v>
      </c>
      <c r="J45" s="54"/>
      <c r="K45" s="55" t="s">
        <v>92</v>
      </c>
      <c r="L45" s="54"/>
      <c r="M45" s="55"/>
      <c r="N45" s="54"/>
    </row>
    <row r="46" spans="1:14" ht="45" customHeight="1">
      <c r="A46" s="58" t="s">
        <v>698</v>
      </c>
      <c r="B46" s="56" t="s">
        <v>654</v>
      </c>
      <c r="C46" s="61" t="s">
        <v>114</v>
      </c>
      <c r="D46" s="56" t="s">
        <v>699</v>
      </c>
      <c r="E46" s="57" t="s">
        <v>700</v>
      </c>
      <c r="F46" s="57" t="s">
        <v>701</v>
      </c>
      <c r="G46" s="57" t="s">
        <v>702</v>
      </c>
      <c r="H46" s="57" t="s">
        <v>703</v>
      </c>
      <c r="I46" s="57" t="s">
        <v>704</v>
      </c>
      <c r="J46" s="54"/>
      <c r="K46" s="55" t="s">
        <v>92</v>
      </c>
      <c r="L46" s="54"/>
      <c r="M46" s="55"/>
      <c r="N46" s="54"/>
    </row>
    <row r="47" spans="1:14" ht="45" customHeight="1">
      <c r="A47" s="58" t="s">
        <v>705</v>
      </c>
      <c r="B47" s="56" t="s">
        <v>654</v>
      </c>
      <c r="C47" s="61" t="s">
        <v>114</v>
      </c>
      <c r="D47" s="56" t="s">
        <v>706</v>
      </c>
      <c r="E47" s="57" t="s">
        <v>707</v>
      </c>
      <c r="F47" s="57" t="s">
        <v>708</v>
      </c>
      <c r="G47" s="57" t="s">
        <v>709</v>
      </c>
      <c r="H47" s="57" t="s">
        <v>710</v>
      </c>
      <c r="I47" s="57" t="s">
        <v>711</v>
      </c>
      <c r="J47" s="54"/>
      <c r="K47" s="55" t="s">
        <v>92</v>
      </c>
      <c r="L47" s="54"/>
      <c r="M47" s="55"/>
      <c r="N47" s="54"/>
    </row>
    <row r="48" spans="1:14" ht="45" customHeight="1">
      <c r="A48" s="58" t="s">
        <v>712</v>
      </c>
      <c r="B48" s="56" t="s">
        <v>654</v>
      </c>
      <c r="C48" s="61" t="s">
        <v>114</v>
      </c>
      <c r="D48" s="56" t="s">
        <v>597</v>
      </c>
      <c r="E48" s="57" t="s">
        <v>713</v>
      </c>
      <c r="F48" s="57" t="s">
        <v>714</v>
      </c>
      <c r="G48" s="57" t="s">
        <v>715</v>
      </c>
      <c r="H48" s="57" t="s">
        <v>716</v>
      </c>
      <c r="I48" s="57" t="s">
        <v>717</v>
      </c>
      <c r="J48" s="54"/>
      <c r="K48" s="55" t="s">
        <v>92</v>
      </c>
      <c r="L48" s="54"/>
      <c r="M48" s="55"/>
      <c r="N48" s="54"/>
    </row>
    <row r="49" spans="1:14" ht="45" customHeight="1">
      <c r="A49" s="58" t="s">
        <v>718</v>
      </c>
      <c r="B49" s="56" t="s">
        <v>654</v>
      </c>
      <c r="C49" s="61" t="s">
        <v>114</v>
      </c>
      <c r="D49" s="56" t="s">
        <v>719</v>
      </c>
      <c r="E49" s="57" t="s">
        <v>720</v>
      </c>
      <c r="F49" s="57" t="s">
        <v>721</v>
      </c>
      <c r="G49" s="57" t="s">
        <v>722</v>
      </c>
      <c r="H49" s="57" t="s">
        <v>723</v>
      </c>
      <c r="I49" s="57" t="s">
        <v>724</v>
      </c>
      <c r="J49" s="54"/>
      <c r="K49" s="55" t="s">
        <v>92</v>
      </c>
      <c r="L49" s="54"/>
      <c r="M49" s="55"/>
      <c r="N49" s="54"/>
    </row>
    <row r="50" spans="1:14" ht="45" customHeight="1">
      <c r="A50" s="58" t="s">
        <v>725</v>
      </c>
      <c r="B50" s="56" t="s">
        <v>654</v>
      </c>
      <c r="C50" s="61" t="s">
        <v>114</v>
      </c>
      <c r="D50" s="56" t="s">
        <v>719</v>
      </c>
      <c r="E50" s="57" t="s">
        <v>726</v>
      </c>
      <c r="F50" s="57" t="s">
        <v>727</v>
      </c>
      <c r="G50" s="57" t="s">
        <v>728</v>
      </c>
      <c r="H50" s="57" t="s">
        <v>729</v>
      </c>
      <c r="I50" s="57" t="s">
        <v>730</v>
      </c>
      <c r="J50" s="54"/>
      <c r="K50" s="55" t="s">
        <v>92</v>
      </c>
      <c r="L50" s="54"/>
      <c r="M50" s="55"/>
      <c r="N50" s="54"/>
    </row>
    <row r="51" spans="1:14" ht="45" customHeight="1">
      <c r="A51" s="58" t="s">
        <v>731</v>
      </c>
      <c r="B51" s="56" t="s">
        <v>654</v>
      </c>
      <c r="C51" s="60" t="s">
        <v>100</v>
      </c>
      <c r="D51" s="56" t="s">
        <v>597</v>
      </c>
      <c r="E51" s="57" t="s">
        <v>732</v>
      </c>
      <c r="F51" s="57" t="s">
        <v>733</v>
      </c>
      <c r="G51" s="57" t="s">
        <v>734</v>
      </c>
      <c r="H51" s="57" t="s">
        <v>735</v>
      </c>
      <c r="I51" s="57" t="s">
        <v>736</v>
      </c>
      <c r="J51" s="54"/>
      <c r="K51" s="55" t="s">
        <v>92</v>
      </c>
      <c r="L51" s="54"/>
      <c r="M51" s="55"/>
      <c r="N51" s="54"/>
    </row>
    <row r="52" spans="1:14" ht="45" customHeight="1">
      <c r="A52" s="58" t="s">
        <v>737</v>
      </c>
      <c r="B52" s="56" t="s">
        <v>654</v>
      </c>
      <c r="C52" s="61" t="s">
        <v>114</v>
      </c>
      <c r="D52" s="56" t="s">
        <v>597</v>
      </c>
      <c r="E52" s="57" t="s">
        <v>738</v>
      </c>
      <c r="F52" s="57" t="s">
        <v>279</v>
      </c>
      <c r="G52" s="57" t="s">
        <v>739</v>
      </c>
      <c r="H52" s="57" t="s">
        <v>740</v>
      </c>
      <c r="I52" s="57" t="s">
        <v>741</v>
      </c>
      <c r="J52" s="54"/>
      <c r="K52" s="55" t="s">
        <v>92</v>
      </c>
      <c r="L52" s="54"/>
      <c r="M52" s="55"/>
      <c r="N52" s="54"/>
    </row>
    <row r="53" spans="1:14" ht="45" customHeight="1">
      <c r="A53" s="58" t="s">
        <v>742</v>
      </c>
      <c r="B53" s="56" t="s">
        <v>654</v>
      </c>
      <c r="C53" s="61" t="s">
        <v>114</v>
      </c>
      <c r="D53" s="56" t="s">
        <v>743</v>
      </c>
      <c r="E53" s="57" t="s">
        <v>744</v>
      </c>
      <c r="F53" s="57" t="s">
        <v>745</v>
      </c>
      <c r="G53" s="57" t="s">
        <v>746</v>
      </c>
      <c r="H53" s="57" t="s">
        <v>747</v>
      </c>
      <c r="I53" s="57" t="s">
        <v>748</v>
      </c>
      <c r="J53" s="54"/>
      <c r="K53" s="55" t="s">
        <v>92</v>
      </c>
      <c r="L53" s="54"/>
      <c r="M53" s="55"/>
      <c r="N53" s="54"/>
    </row>
    <row r="54" spans="1:14" ht="45" customHeight="1">
      <c r="A54" s="58" t="s">
        <v>749</v>
      </c>
      <c r="B54" s="56" t="s">
        <v>654</v>
      </c>
      <c r="C54" s="61" t="s">
        <v>114</v>
      </c>
      <c r="D54" s="56" t="s">
        <v>750</v>
      </c>
      <c r="E54" s="57" t="s">
        <v>751</v>
      </c>
      <c r="F54" s="57" t="s">
        <v>752</v>
      </c>
      <c r="G54" s="57" t="s">
        <v>753</v>
      </c>
      <c r="H54" s="57" t="s">
        <v>754</v>
      </c>
      <c r="I54" s="57" t="s">
        <v>755</v>
      </c>
      <c r="J54" s="54"/>
      <c r="K54" s="55" t="s">
        <v>92</v>
      </c>
      <c r="L54" s="54"/>
      <c r="M54" s="55"/>
      <c r="N54" s="54"/>
    </row>
    <row r="55" spans="1:14" ht="45" customHeight="1">
      <c r="A55" s="58" t="s">
        <v>756</v>
      </c>
      <c r="B55" s="56" t="s">
        <v>654</v>
      </c>
      <c r="C55" s="60" t="s">
        <v>100</v>
      </c>
      <c r="D55" s="56" t="s">
        <v>757</v>
      </c>
      <c r="E55" s="57" t="s">
        <v>758</v>
      </c>
      <c r="F55" s="57" t="s">
        <v>759</v>
      </c>
      <c r="G55" s="57" t="s">
        <v>760</v>
      </c>
      <c r="H55" s="57" t="s">
        <v>761</v>
      </c>
      <c r="I55" s="57" t="s">
        <v>762</v>
      </c>
      <c r="J55" s="54"/>
      <c r="K55" s="55" t="s">
        <v>92</v>
      </c>
      <c r="L55" s="54"/>
      <c r="M55" s="55"/>
      <c r="N55" s="54"/>
    </row>
    <row r="56" spans="1:14" ht="45" customHeight="1">
      <c r="A56" s="58" t="s">
        <v>763</v>
      </c>
      <c r="B56" s="56" t="s">
        <v>654</v>
      </c>
      <c r="C56" s="61" t="s">
        <v>114</v>
      </c>
      <c r="D56" s="56" t="s">
        <v>764</v>
      </c>
      <c r="E56" s="57" t="s">
        <v>765</v>
      </c>
      <c r="F56" s="57" t="s">
        <v>766</v>
      </c>
      <c r="G56" s="57" t="s">
        <v>767</v>
      </c>
      <c r="H56" s="57" t="s">
        <v>768</v>
      </c>
      <c r="I56" s="57" t="s">
        <v>769</v>
      </c>
      <c r="J56" s="54"/>
      <c r="K56" s="55" t="s">
        <v>92</v>
      </c>
      <c r="L56" s="54"/>
      <c r="M56" s="55"/>
      <c r="N56" s="54"/>
    </row>
    <row r="57" spans="1:14" ht="45" customHeight="1">
      <c r="A57" s="58" t="s">
        <v>770</v>
      </c>
      <c r="B57" s="56" t="s">
        <v>654</v>
      </c>
      <c r="C57" s="60" t="s">
        <v>100</v>
      </c>
      <c r="D57" s="56" t="s">
        <v>764</v>
      </c>
      <c r="E57" s="57" t="s">
        <v>771</v>
      </c>
      <c r="F57" s="57" t="s">
        <v>772</v>
      </c>
      <c r="G57" s="57" t="s">
        <v>773</v>
      </c>
      <c r="H57" s="57" t="s">
        <v>774</v>
      </c>
      <c r="I57" s="57" t="s">
        <v>775</v>
      </c>
      <c r="J57" s="54"/>
      <c r="K57" s="55" t="s">
        <v>92</v>
      </c>
      <c r="L57" s="54"/>
      <c r="M57" s="55"/>
      <c r="N57" s="54"/>
    </row>
    <row r="58" spans="1:14" ht="45" customHeight="1">
      <c r="A58" s="58" t="s">
        <v>776</v>
      </c>
      <c r="B58" s="56" t="s">
        <v>654</v>
      </c>
      <c r="C58" s="60" t="s">
        <v>100</v>
      </c>
      <c r="D58" s="56" t="s">
        <v>764</v>
      </c>
      <c r="E58" s="57" t="s">
        <v>777</v>
      </c>
      <c r="F58" s="57" t="s">
        <v>778</v>
      </c>
      <c r="G58" s="57" t="s">
        <v>779</v>
      </c>
      <c r="H58" s="57" t="s">
        <v>780</v>
      </c>
      <c r="I58" s="57" t="s">
        <v>781</v>
      </c>
      <c r="J58" s="54"/>
      <c r="K58" s="55" t="s">
        <v>92</v>
      </c>
      <c r="L58" s="54"/>
      <c r="M58" s="55"/>
      <c r="N58" s="54"/>
    </row>
    <row r="59" spans="1:14" ht="45" customHeight="1">
      <c r="A59" s="58" t="s">
        <v>782</v>
      </c>
      <c r="B59" s="56" t="s">
        <v>654</v>
      </c>
      <c r="C59" s="61" t="s">
        <v>114</v>
      </c>
      <c r="D59" s="56" t="s">
        <v>597</v>
      </c>
      <c r="E59" s="57" t="s">
        <v>783</v>
      </c>
      <c r="F59" s="57" t="s">
        <v>784</v>
      </c>
      <c r="G59" s="57" t="s">
        <v>785</v>
      </c>
      <c r="H59" s="57" t="s">
        <v>786</v>
      </c>
      <c r="I59" s="57" t="s">
        <v>787</v>
      </c>
      <c r="J59" s="54"/>
      <c r="K59" s="55" t="s">
        <v>92</v>
      </c>
      <c r="L59" s="54"/>
      <c r="M59" s="55"/>
      <c r="N59" s="54"/>
    </row>
    <row r="60" spans="1:14" ht="45" customHeight="1">
      <c r="A60" s="58" t="s">
        <v>788</v>
      </c>
      <c r="B60" s="56" t="s">
        <v>654</v>
      </c>
      <c r="C60" s="61" t="s">
        <v>114</v>
      </c>
      <c r="D60" s="56" t="s">
        <v>789</v>
      </c>
      <c r="E60" s="57" t="s">
        <v>790</v>
      </c>
      <c r="F60" s="57" t="s">
        <v>791</v>
      </c>
      <c r="G60" s="57" t="s">
        <v>792</v>
      </c>
      <c r="H60" s="57" t="s">
        <v>793</v>
      </c>
      <c r="I60" s="57" t="s">
        <v>794</v>
      </c>
      <c r="J60" s="54"/>
      <c r="K60" s="55" t="s">
        <v>92</v>
      </c>
      <c r="L60" s="54"/>
      <c r="M60" s="55"/>
      <c r="N60" s="54"/>
    </row>
    <row r="61" spans="1:14" ht="45" customHeight="1">
      <c r="A61" s="58" t="s">
        <v>795</v>
      </c>
      <c r="B61" s="56" t="s">
        <v>654</v>
      </c>
      <c r="C61" s="61" t="s">
        <v>114</v>
      </c>
      <c r="D61" s="56" t="s">
        <v>789</v>
      </c>
      <c r="E61" s="57" t="s">
        <v>796</v>
      </c>
      <c r="F61" s="57" t="s">
        <v>797</v>
      </c>
      <c r="G61" s="57" t="s">
        <v>798</v>
      </c>
      <c r="H61" s="57" t="s">
        <v>799</v>
      </c>
      <c r="I61" s="57" t="s">
        <v>800</v>
      </c>
      <c r="J61" s="54"/>
      <c r="K61" s="55" t="s">
        <v>92</v>
      </c>
      <c r="L61" s="54"/>
      <c r="M61" s="55"/>
      <c r="N61" s="54"/>
    </row>
    <row r="62" spans="1:14" ht="45" customHeight="1">
      <c r="A62" s="58" t="s">
        <v>801</v>
      </c>
      <c r="B62" s="56" t="s">
        <v>654</v>
      </c>
      <c r="C62" s="59" t="s">
        <v>85</v>
      </c>
      <c r="D62" s="56" t="s">
        <v>789</v>
      </c>
      <c r="E62" s="57" t="s">
        <v>802</v>
      </c>
      <c r="F62" s="57" t="s">
        <v>803</v>
      </c>
      <c r="G62" s="57" t="s">
        <v>804</v>
      </c>
      <c r="H62" s="57" t="s">
        <v>805</v>
      </c>
      <c r="I62" s="57" t="s">
        <v>806</v>
      </c>
      <c r="J62" s="54"/>
      <c r="K62" s="55" t="s">
        <v>92</v>
      </c>
      <c r="L62" s="54"/>
      <c r="M62" s="55"/>
      <c r="N62" s="54"/>
    </row>
    <row r="63" spans="1:14" ht="45" customHeight="1">
      <c r="A63" s="58" t="s">
        <v>807</v>
      </c>
      <c r="B63" s="56" t="s">
        <v>654</v>
      </c>
      <c r="C63" s="61" t="s">
        <v>114</v>
      </c>
      <c r="D63" s="56" t="s">
        <v>789</v>
      </c>
      <c r="E63" s="57" t="s">
        <v>808</v>
      </c>
      <c r="F63" s="57" t="s">
        <v>809</v>
      </c>
      <c r="G63" s="57" t="s">
        <v>810</v>
      </c>
      <c r="H63" s="57" t="s">
        <v>811</v>
      </c>
      <c r="I63" s="57" t="s">
        <v>812</v>
      </c>
      <c r="J63" s="54"/>
      <c r="K63" s="55" t="s">
        <v>92</v>
      </c>
      <c r="L63" s="54"/>
      <c r="M63" s="55"/>
      <c r="N63" s="54"/>
    </row>
    <row r="64" spans="1:14" ht="45" customHeight="1">
      <c r="A64" s="58" t="s">
        <v>813</v>
      </c>
      <c r="B64" s="56" t="s">
        <v>654</v>
      </c>
      <c r="C64" s="61" t="s">
        <v>114</v>
      </c>
      <c r="D64" s="56" t="s">
        <v>789</v>
      </c>
      <c r="E64" s="57" t="s">
        <v>814</v>
      </c>
      <c r="F64" s="57" t="s">
        <v>815</v>
      </c>
      <c r="G64" s="57" t="s">
        <v>816</v>
      </c>
      <c r="H64" s="57" t="s">
        <v>817</v>
      </c>
      <c r="I64" s="57" t="s">
        <v>818</v>
      </c>
      <c r="J64" s="54"/>
      <c r="K64" s="55" t="s">
        <v>92</v>
      </c>
      <c r="L64" s="54"/>
      <c r="M64" s="55"/>
      <c r="N64" s="54"/>
    </row>
    <row r="65" spans="1:14" ht="45" customHeight="1">
      <c r="A65" s="58" t="s">
        <v>819</v>
      </c>
      <c r="B65" s="56" t="s">
        <v>425</v>
      </c>
      <c r="C65" s="61" t="s">
        <v>114</v>
      </c>
      <c r="D65" s="56" t="s">
        <v>134</v>
      </c>
      <c r="E65" s="57" t="s">
        <v>820</v>
      </c>
      <c r="F65" s="57" t="s">
        <v>821</v>
      </c>
      <c r="G65" s="57" t="s">
        <v>822</v>
      </c>
      <c r="H65" s="57" t="s">
        <v>823</v>
      </c>
      <c r="I65" s="57" t="s">
        <v>824</v>
      </c>
      <c r="J65" s="54"/>
      <c r="K65" s="55" t="s">
        <v>92</v>
      </c>
      <c r="L65" s="54"/>
      <c r="M65" s="55"/>
      <c r="N65" s="54"/>
    </row>
    <row r="66" spans="1:14" ht="45" customHeight="1">
      <c r="A66" s="58" t="s">
        <v>825</v>
      </c>
      <c r="B66" s="56" t="s">
        <v>425</v>
      </c>
      <c r="C66" s="60" t="s">
        <v>100</v>
      </c>
      <c r="D66" s="56" t="s">
        <v>134</v>
      </c>
      <c r="E66" s="57" t="s">
        <v>826</v>
      </c>
      <c r="F66" s="57" t="s">
        <v>827</v>
      </c>
      <c r="G66" s="57" t="s">
        <v>828</v>
      </c>
      <c r="H66" s="57" t="s">
        <v>829</v>
      </c>
      <c r="I66" s="57" t="s">
        <v>830</v>
      </c>
      <c r="J66" s="54"/>
      <c r="K66" s="55" t="s">
        <v>92</v>
      </c>
      <c r="L66" s="54"/>
      <c r="M66" s="55"/>
      <c r="N66" s="54"/>
    </row>
    <row r="67" spans="1:14" ht="45" customHeight="1">
      <c r="A67" s="58" t="s">
        <v>831</v>
      </c>
      <c r="B67" s="56" t="s">
        <v>425</v>
      </c>
      <c r="C67" s="61" t="s">
        <v>114</v>
      </c>
      <c r="D67" s="56" t="s">
        <v>832</v>
      </c>
      <c r="E67" s="57" t="s">
        <v>833</v>
      </c>
      <c r="F67" s="57" t="s">
        <v>834</v>
      </c>
      <c r="G67" s="57" t="s">
        <v>835</v>
      </c>
      <c r="H67" s="57" t="s">
        <v>836</v>
      </c>
      <c r="I67" s="57" t="s">
        <v>837</v>
      </c>
      <c r="J67" s="54"/>
      <c r="K67" s="55" t="s">
        <v>92</v>
      </c>
      <c r="L67" s="54"/>
      <c r="M67" s="55"/>
      <c r="N67" s="54"/>
    </row>
    <row r="68" spans="1:14" ht="45" customHeight="1">
      <c r="A68" s="58" t="s">
        <v>838</v>
      </c>
      <c r="B68" s="56" t="s">
        <v>425</v>
      </c>
      <c r="C68" s="61" t="s">
        <v>114</v>
      </c>
      <c r="D68" s="56" t="s">
        <v>290</v>
      </c>
      <c r="E68" s="57" t="s">
        <v>839</v>
      </c>
      <c r="F68" s="57" t="s">
        <v>840</v>
      </c>
      <c r="G68" s="57" t="s">
        <v>841</v>
      </c>
      <c r="H68" s="57" t="s">
        <v>842</v>
      </c>
      <c r="I68" s="57" t="s">
        <v>843</v>
      </c>
      <c r="J68" s="54"/>
      <c r="K68" s="55" t="s">
        <v>92</v>
      </c>
      <c r="L68" s="54"/>
      <c r="M68" s="55"/>
      <c r="N68" s="54"/>
    </row>
    <row r="69" spans="1:14" ht="45" customHeight="1">
      <c r="A69" s="58" t="s">
        <v>844</v>
      </c>
      <c r="B69" s="56" t="s">
        <v>425</v>
      </c>
      <c r="C69" s="61" t="s">
        <v>114</v>
      </c>
      <c r="D69" s="56" t="s">
        <v>235</v>
      </c>
      <c r="E69" s="57" t="s">
        <v>845</v>
      </c>
      <c r="F69" s="57" t="s">
        <v>846</v>
      </c>
      <c r="G69" s="57" t="s">
        <v>847</v>
      </c>
      <c r="H69" s="57" t="s">
        <v>848</v>
      </c>
      <c r="I69" s="57" t="s">
        <v>849</v>
      </c>
      <c r="J69" s="54"/>
      <c r="K69" s="55" t="s">
        <v>92</v>
      </c>
      <c r="L69" s="54"/>
      <c r="M69" s="55"/>
      <c r="N69" s="54"/>
    </row>
  </sheetData>
  <mergeCells count="4">
    <mergeCell ref="A5:N5"/>
    <mergeCell ref="A4:N4"/>
    <mergeCell ref="A3:N3"/>
    <mergeCell ref="A1:N1"/>
  </mergeCells>
  <phoneticPr fontId="2" type="noConversion"/>
  <conditionalFormatting sqref="C7:C69">
    <cfRule type="containsText" dxfId="45" priority="3" operator="containsText" text="A-上线阻断"/>
    <cfRule type="containsText" dxfId="44" priority="4" operator="containsText" text="B-上线必做"/>
    <cfRule type="containsText" dxfId="43" priority="5" operator="containsText" text="C-抽查优化"/>
  </conditionalFormatting>
  <conditionalFormatting sqref="J7:N69">
    <cfRule type="expression" dxfId="42" priority="11">
      <formula>AND($K7="通过",OR($J7="",$M7="",$N7=""))</formula>
    </cfRule>
  </conditionalFormatting>
  <conditionalFormatting sqref="K7:K69">
    <cfRule type="expression" dxfId="41" priority="6">
      <formula>$K7="通过"</formula>
    </cfRule>
    <cfRule type="expression" dxfId="40" priority="7">
      <formula>$K7="不通过"</formula>
    </cfRule>
    <cfRule type="expression" dxfId="39" priority="8">
      <formula>$K7="阻塞"</formula>
    </cfRule>
    <cfRule type="expression" dxfId="38" priority="9">
      <formula>$K7="待确认"</formula>
    </cfRule>
    <cfRule type="expression" dxfId="37" priority="10">
      <formula>$K7="不适用"</formula>
    </cfRule>
  </conditionalFormatting>
  <conditionalFormatting sqref="L7:L69">
    <cfRule type="expression" dxfId="36" priority="12">
      <formula>AND(OR($K7="不通过",$K7="阻塞",$K7="待确认"),$L7="")</formula>
    </cfRule>
  </conditionalFormatting>
  <conditionalFormatting sqref="N2">
    <cfRule type="expression" dxfId="35" priority="1">
      <formula>$N$2="本部分核验完成"</formula>
    </cfRule>
    <cfRule type="expression" dxfId="34" priority="2">
      <formula>LEFT($N$2,4)="存在异常"</formula>
    </cfRule>
  </conditionalFormatting>
  <dataValidations count="1">
    <dataValidation type="list" sqref="K7:K69" xr:uid="{00000000-0002-0000-0200-000000000000}">
      <formula1>"未核验,通过,不通过,阻塞,待确认,不适用"</formula1>
    </dataValidation>
  </dataValidations>
  <printOptions horizontalCentered="1"/>
  <pageMargins left="0.27559055118110232" right="0.27559055118110232" top="0.43307086614173229" bottom="0.43307086614173229" header="0.17716535433070868" footer="0.17716535433070868"/>
  <pageSetup paperSize="8" scale="36" fitToHeight="0" orientation="landscape" r:id="rId1"/>
  <headerFooter>
    <oddHeader>&amp;L&amp;B PIS 项目实施标准模板&amp;R版本 V1.0</oddHeader>
    <oddFooter>&amp;L湖北数智病理医学检验有限公司&amp;C业务流程核验&amp;R第 &amp;P 页 / 共 &amp;N 页</oddFoot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14"/>
  <sheetViews>
    <sheetView showGridLines="0" zoomScale="85" zoomScaleNormal="85" workbookViewId="0">
      <selection sqref="A1:H1"/>
    </sheetView>
  </sheetViews>
  <sheetFormatPr defaultRowHeight="14"/>
  <cols>
    <col min="1" max="1" width="16" customWidth="1"/>
    <col min="2" max="2" width="32" customWidth="1"/>
    <col min="3" max="3" width="30" customWidth="1"/>
    <col min="4" max="4" width="42" customWidth="1"/>
    <col min="5" max="5" width="28" customWidth="1"/>
    <col min="6" max="6" width="34" customWidth="1"/>
    <col min="7" max="7" width="18" customWidth="1"/>
    <col min="8" max="8" width="36" customWidth="1"/>
  </cols>
  <sheetData>
    <row r="1" spans="1:8" ht="34" customHeight="1">
      <c r="A1" s="2" t="s">
        <v>850</v>
      </c>
      <c r="B1" s="3"/>
      <c r="C1" s="3"/>
      <c r="D1" s="3"/>
      <c r="E1" s="3"/>
      <c r="F1" s="3"/>
      <c r="G1" s="3"/>
      <c r="H1" s="3"/>
    </row>
    <row r="2" spans="1:8" ht="34" customHeight="1">
      <c r="A2" s="40" t="s">
        <v>851</v>
      </c>
      <c r="B2" s="48"/>
      <c r="C2" s="48"/>
      <c r="D2" s="48"/>
      <c r="E2" s="48"/>
      <c r="F2" s="48"/>
      <c r="G2" s="48"/>
      <c r="H2" s="48"/>
    </row>
    <row r="3" spans="1:8" ht="8" customHeight="1">
      <c r="A3" s="1"/>
      <c r="B3" s="1"/>
      <c r="C3" s="1"/>
      <c r="D3" s="1"/>
      <c r="E3" s="1"/>
      <c r="F3" s="1"/>
      <c r="G3" s="1"/>
      <c r="H3" s="1"/>
    </row>
    <row r="4" spans="1:8" ht="30" customHeight="1">
      <c r="A4" s="12" t="s">
        <v>852</v>
      </c>
      <c r="B4" s="12" t="s">
        <v>853</v>
      </c>
      <c r="C4" s="12" t="s">
        <v>854</v>
      </c>
      <c r="D4" s="12" t="s">
        <v>855</v>
      </c>
      <c r="E4" s="12" t="s">
        <v>856</v>
      </c>
      <c r="F4" s="12" t="s">
        <v>857</v>
      </c>
      <c r="G4" s="12" t="s">
        <v>858</v>
      </c>
      <c r="H4" s="12" t="s">
        <v>859</v>
      </c>
    </row>
    <row r="5" spans="1:8" ht="44" customHeight="1">
      <c r="A5" s="62" t="s">
        <v>70</v>
      </c>
      <c r="B5" s="63" t="s">
        <v>860</v>
      </c>
      <c r="C5" s="63" t="s">
        <v>861</v>
      </c>
      <c r="D5" s="64" t="s">
        <v>862</v>
      </c>
      <c r="E5" s="24" t="s">
        <v>863</v>
      </c>
      <c r="F5" s="63" t="s">
        <v>864</v>
      </c>
      <c r="G5" s="63" t="s">
        <v>72</v>
      </c>
      <c r="H5" s="65" t="s">
        <v>865</v>
      </c>
    </row>
    <row r="6" spans="1:8" ht="44" customHeight="1">
      <c r="A6" s="66" t="s">
        <v>866</v>
      </c>
      <c r="B6" s="63" t="s">
        <v>867</v>
      </c>
      <c r="C6" s="63" t="s">
        <v>868</v>
      </c>
      <c r="D6" s="64" t="s">
        <v>869</v>
      </c>
      <c r="E6" s="24" t="s">
        <v>870</v>
      </c>
      <c r="F6" s="63" t="s">
        <v>871</v>
      </c>
      <c r="G6" s="63" t="s">
        <v>872</v>
      </c>
      <c r="H6" s="65" t="s">
        <v>873</v>
      </c>
    </row>
    <row r="7" spans="1:8" ht="44" customHeight="1">
      <c r="A7" s="66" t="s">
        <v>874</v>
      </c>
      <c r="B7" s="63" t="s">
        <v>875</v>
      </c>
      <c r="C7" s="63" t="s">
        <v>876</v>
      </c>
      <c r="D7" s="64" t="s">
        <v>877</v>
      </c>
      <c r="E7" s="24" t="s">
        <v>878</v>
      </c>
      <c r="F7" s="63" t="s">
        <v>879</v>
      </c>
      <c r="G7" s="63" t="s">
        <v>72</v>
      </c>
      <c r="H7" s="65" t="s">
        <v>880</v>
      </c>
    </row>
    <row r="8" spans="1:8" ht="44" customHeight="1">
      <c r="A8" s="66" t="s">
        <v>881</v>
      </c>
      <c r="B8" s="63" t="s">
        <v>882</v>
      </c>
      <c r="C8" s="63" t="s">
        <v>883</v>
      </c>
      <c r="D8" s="64" t="s">
        <v>884</v>
      </c>
      <c r="E8" s="24" t="s">
        <v>885</v>
      </c>
      <c r="F8" s="63" t="s">
        <v>886</v>
      </c>
      <c r="G8" s="63" t="s">
        <v>72</v>
      </c>
      <c r="H8" s="65" t="s">
        <v>887</v>
      </c>
    </row>
    <row r="9" spans="1:8" ht="44" customHeight="1">
      <c r="A9" s="66" t="s">
        <v>888</v>
      </c>
      <c r="B9" s="63" t="s">
        <v>889</v>
      </c>
      <c r="C9" s="63" t="s">
        <v>890</v>
      </c>
      <c r="D9" s="64" t="s">
        <v>891</v>
      </c>
      <c r="E9" s="24" t="s">
        <v>892</v>
      </c>
      <c r="F9" s="63" t="s">
        <v>893</v>
      </c>
      <c r="G9" s="63" t="s">
        <v>894</v>
      </c>
      <c r="H9" s="65" t="s">
        <v>895</v>
      </c>
    </row>
    <row r="10" spans="1:8" ht="44" customHeight="1">
      <c r="A10" s="66" t="s">
        <v>896</v>
      </c>
      <c r="B10" s="63" t="s">
        <v>897</v>
      </c>
      <c r="C10" s="63" t="s">
        <v>898</v>
      </c>
      <c r="D10" s="64" t="s">
        <v>899</v>
      </c>
      <c r="E10" s="24" t="s">
        <v>900</v>
      </c>
      <c r="F10" s="63" t="s">
        <v>901</v>
      </c>
      <c r="G10" s="63" t="s">
        <v>902</v>
      </c>
      <c r="H10" s="65" t="s">
        <v>903</v>
      </c>
    </row>
    <row r="11" spans="1:8" ht="44" customHeight="1">
      <c r="A11" s="66" t="s">
        <v>904</v>
      </c>
      <c r="B11" s="63" t="s">
        <v>905</v>
      </c>
      <c r="C11" s="63" t="s">
        <v>906</v>
      </c>
      <c r="D11" s="64" t="s">
        <v>907</v>
      </c>
      <c r="E11" s="24" t="s">
        <v>908</v>
      </c>
      <c r="F11" s="63" t="s">
        <v>909</v>
      </c>
      <c r="G11" s="63" t="s">
        <v>910</v>
      </c>
      <c r="H11" s="65" t="s">
        <v>911</v>
      </c>
    </row>
    <row r="12" spans="1:8" ht="44" customHeight="1">
      <c r="A12" s="66" t="s">
        <v>912</v>
      </c>
      <c r="B12" s="63" t="s">
        <v>913</v>
      </c>
      <c r="C12" s="63" t="s">
        <v>82</v>
      </c>
      <c r="D12" s="64" t="s">
        <v>914</v>
      </c>
      <c r="E12" s="24" t="s">
        <v>915</v>
      </c>
      <c r="F12" s="63" t="s">
        <v>916</v>
      </c>
      <c r="G12" s="63" t="s">
        <v>894</v>
      </c>
      <c r="H12" s="65" t="s">
        <v>917</v>
      </c>
    </row>
    <row r="13" spans="1:8" ht="44" customHeight="1">
      <c r="A13" s="66" t="s">
        <v>918</v>
      </c>
      <c r="B13" s="63" t="s">
        <v>919</v>
      </c>
      <c r="C13" s="63" t="s">
        <v>920</v>
      </c>
      <c r="D13" s="64" t="s">
        <v>921</v>
      </c>
      <c r="E13" s="24" t="s">
        <v>922</v>
      </c>
      <c r="F13" s="63" t="s">
        <v>923</v>
      </c>
      <c r="G13" s="63" t="s">
        <v>894</v>
      </c>
      <c r="H13" s="65" t="s">
        <v>924</v>
      </c>
    </row>
    <row r="14" spans="1:8" ht="44" customHeight="1">
      <c r="A14" s="66" t="s">
        <v>925</v>
      </c>
      <c r="B14" s="63" t="s">
        <v>926</v>
      </c>
      <c r="C14" s="63" t="s">
        <v>927</v>
      </c>
      <c r="D14" s="64" t="s">
        <v>928</v>
      </c>
      <c r="E14" s="24" t="s">
        <v>929</v>
      </c>
      <c r="F14" s="63" t="s">
        <v>930</v>
      </c>
      <c r="G14" s="63" t="s">
        <v>931</v>
      </c>
      <c r="H14" s="65" t="s">
        <v>932</v>
      </c>
    </row>
  </sheetData>
  <mergeCells count="2">
    <mergeCell ref="A2:H2"/>
    <mergeCell ref="A1:H1"/>
  </mergeCells>
  <phoneticPr fontId="2" type="noConversion"/>
  <printOptions horizontalCentered="1"/>
  <pageMargins left="0.27559055118110232" right="0.27559055118110232" top="0.43307086614173229" bottom="0.43307086614173229" header="0.17716535433070868" footer="0.17716535433070868"/>
  <pageSetup paperSize="9" scale="55" fitToHeight="0" orientation="landscape" r:id="rId1"/>
  <headerFooter>
    <oddHeader>&amp;L&amp;B PIS 项目实施标准模板&amp;R版本 V1.0</oddHeader>
    <oddFooter>&amp;L湖北数智病理医学检验有限公司&amp;C填写规范及约束&amp;R第 &amp;P 页 / 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8</vt:i4>
      </vt:variant>
    </vt:vector>
  </HeadingPairs>
  <TitlesOfParts>
    <vt:vector size="12" baseType="lpstr">
      <vt:lpstr>汇总页</vt:lpstr>
      <vt:lpstr>上线准备检查</vt:lpstr>
      <vt:lpstr>业务流程核验</vt:lpstr>
      <vt:lpstr>填写规范及约束</vt:lpstr>
      <vt:lpstr>汇总页!Print_Area</vt:lpstr>
      <vt:lpstr>上线准备检查!Print_Area</vt:lpstr>
      <vt:lpstr>填写规范及约束!Print_Area</vt:lpstr>
      <vt:lpstr>业务流程核验!Print_Area</vt:lpstr>
      <vt:lpstr>汇总页!Print_Titles</vt:lpstr>
      <vt:lpstr>上线准备检查!Print_Titles</vt:lpstr>
      <vt:lpstr>填写规范及约束!Print_Titles</vt:lpstr>
      <vt:lpstr>业务流程核验!Print_Titles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上线条件评估表｜PIS系统上线前实施核验清单｜标准模板｜V1.0</dc:title>
  <dc:creator>湖北数智病理医学检验有限公司</dc:creator>
  <cp:lastModifiedBy>正宇 张</cp:lastModifiedBy>
  <dcterms:created xsi:type="dcterms:W3CDTF">2026-08-22T10:45:51Z</dcterms:created>
  <dcterms:modified xsi:type="dcterms:W3CDTF">2026-08-22T12:20:23Z</dcterms:modified>
</cp:coreProperties>
</file>